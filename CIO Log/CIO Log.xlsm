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aull\OneDrive\Desktop\Career\Portfolio\Excel Portfolio\"/>
    </mc:Choice>
  </mc:AlternateContent>
  <xr:revisionPtr revIDLastSave="0" documentId="13_ncr:1_{0EF50355-1517-4463-89E3-25A20A4B6B9D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Daily CIO" sheetId="2" r:id="rId1"/>
    <sheet name="CIO Unit" sheetId="7" r:id="rId2"/>
    <sheet name="WMS Attendance" sheetId="1" r:id="rId3"/>
    <sheet name="Analytics" sheetId="5" r:id="rId4"/>
    <sheet name="How-to Guide" sheetId="4" state="hidden" r:id="rId5"/>
    <sheet name="Macro Code" sheetId="8" state="hidden" r:id="rId6"/>
    <sheet name="pending data table" sheetId="6" state="hidden" r:id="rId7"/>
  </sheets>
  <definedNames>
    <definedName name="_xlnm._FilterDatabase" localSheetId="0" hidden="1">'Daily CIO'!$A$1:$O$155</definedName>
    <definedName name="_xlnm._FilterDatabase" localSheetId="2" hidden="1">'WMS Attendance'!$A$1:$H$468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5" l="1"/>
  <c r="B6" i="7"/>
  <c r="B23" i="7"/>
  <c r="B16" i="7"/>
  <c r="B19" i="7"/>
  <c r="B11" i="7"/>
  <c r="B20" i="7"/>
  <c r="B15" i="7"/>
  <c r="B13" i="7"/>
  <c r="B5" i="7"/>
  <c r="B3" i="7"/>
  <c r="B17" i="7"/>
  <c r="B8" i="7"/>
  <c r="B7" i="7"/>
  <c r="B9" i="7"/>
  <c r="B18" i="7"/>
  <c r="B4" i="7"/>
  <c r="B14" i="7"/>
  <c r="B21" i="7"/>
  <c r="B10" i="7"/>
  <c r="B2" i="7"/>
  <c r="B22" i="7"/>
  <c r="H6" i="7"/>
  <c r="H23" i="7"/>
  <c r="H16" i="7"/>
  <c r="H19" i="7"/>
  <c r="H11" i="7"/>
  <c r="H20" i="7"/>
  <c r="H15" i="7"/>
  <c r="H13" i="7"/>
  <c r="H5" i="7"/>
  <c r="H3" i="7"/>
  <c r="H17" i="7"/>
  <c r="H8" i="7"/>
  <c r="H7" i="7"/>
  <c r="H9" i="7"/>
  <c r="H18" i="7"/>
  <c r="H4" i="7"/>
  <c r="H14" i="7"/>
  <c r="H21" i="7"/>
  <c r="H10" i="7"/>
  <c r="H2" i="7"/>
  <c r="H22" i="7"/>
  <c r="G13" i="7"/>
  <c r="G5" i="7"/>
  <c r="G3" i="7"/>
  <c r="G17" i="7"/>
  <c r="G8" i="7"/>
  <c r="G7" i="7"/>
  <c r="G9" i="7"/>
  <c r="G18" i="7"/>
  <c r="G4" i="7"/>
  <c r="G14" i="7"/>
  <c r="G21" i="7"/>
  <c r="G10" i="7"/>
  <c r="G2" i="7"/>
  <c r="G6" i="7"/>
  <c r="G23" i="7"/>
  <c r="G16" i="7"/>
  <c r="G19" i="7"/>
  <c r="G11" i="7"/>
  <c r="G20" i="7"/>
  <c r="G15" i="7"/>
  <c r="G22" i="7"/>
  <c r="E53" i="2"/>
  <c r="L11" i="6"/>
  <c r="B45" i="2"/>
  <c r="B4" i="2"/>
  <c r="O23" i="6"/>
  <c r="O24" i="6" s="1"/>
  <c r="B122" i="2"/>
  <c r="E2" i="6"/>
  <c r="E3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09" i="6"/>
  <c r="E110" i="6"/>
  <c r="E111" i="6"/>
  <c r="E112" i="6"/>
  <c r="E113" i="6"/>
  <c r="E114" i="6"/>
  <c r="E115" i="6"/>
  <c r="E116" i="6"/>
  <c r="E117" i="6"/>
  <c r="E118" i="6"/>
  <c r="E119" i="6"/>
  <c r="E120" i="6"/>
  <c r="E121" i="6"/>
  <c r="E122" i="6"/>
  <c r="E123" i="6"/>
  <c r="E124" i="6"/>
  <c r="E125" i="6"/>
  <c r="E126" i="6"/>
  <c r="E127" i="6"/>
  <c r="E128" i="6"/>
  <c r="E129" i="6"/>
  <c r="E130" i="6"/>
  <c r="E131" i="6"/>
  <c r="E132" i="6"/>
  <c r="E133" i="6"/>
  <c r="E134" i="6"/>
  <c r="E135" i="6"/>
  <c r="E136" i="6"/>
  <c r="E137" i="6"/>
  <c r="E138" i="6"/>
  <c r="E139" i="6"/>
  <c r="E140" i="6"/>
  <c r="E141" i="6"/>
  <c r="E142" i="6"/>
  <c r="E143" i="6"/>
  <c r="E144" i="6"/>
  <c r="E145" i="6"/>
  <c r="E146" i="6"/>
  <c r="E147" i="6"/>
  <c r="E148" i="6"/>
  <c r="E149" i="6"/>
  <c r="E150" i="6"/>
  <c r="E151" i="6"/>
  <c r="E152" i="6"/>
  <c r="E153" i="6"/>
  <c r="E154" i="6"/>
  <c r="E155" i="6"/>
  <c r="E156" i="6"/>
  <c r="E157" i="6"/>
  <c r="E158" i="6"/>
  <c r="E159" i="6"/>
  <c r="E160" i="6"/>
  <c r="E161" i="6"/>
  <c r="E162" i="6"/>
  <c r="E163" i="6"/>
  <c r="E164" i="6"/>
  <c r="E165" i="6"/>
  <c r="E166" i="6"/>
  <c r="E167" i="6"/>
  <c r="E168" i="6"/>
  <c r="E169" i="6"/>
  <c r="E170" i="6"/>
  <c r="E171" i="6"/>
  <c r="E172" i="6"/>
  <c r="E173" i="6"/>
  <c r="E174" i="6"/>
  <c r="E175" i="6"/>
  <c r="E176" i="6"/>
  <c r="E177" i="6"/>
  <c r="E178" i="6"/>
  <c r="E179" i="6"/>
  <c r="E180" i="6"/>
  <c r="E181" i="6"/>
  <c r="E182" i="6"/>
  <c r="E183" i="6"/>
  <c r="E184" i="6"/>
  <c r="E185" i="6"/>
  <c r="E186" i="6"/>
  <c r="E187" i="6"/>
  <c r="E188" i="6"/>
  <c r="E189" i="6"/>
  <c r="E190" i="6"/>
  <c r="E191" i="6"/>
  <c r="E192" i="6"/>
  <c r="E193" i="6"/>
  <c r="E194" i="6"/>
  <c r="E195" i="6"/>
  <c r="E196" i="6"/>
  <c r="E197" i="6"/>
  <c r="E198" i="6"/>
  <c r="E199" i="6"/>
  <c r="E200" i="6"/>
  <c r="E1" i="6"/>
  <c r="D200" i="6"/>
  <c r="E3" i="5"/>
  <c r="B66" i="2"/>
  <c r="B16" i="6"/>
  <c r="L6" i="6"/>
  <c r="L7" i="6"/>
  <c r="L8" i="6"/>
  <c r="L9" i="6"/>
  <c r="L10" i="6"/>
  <c r="L12" i="6"/>
  <c r="L13" i="6"/>
  <c r="L14" i="6"/>
  <c r="A4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C1" i="6"/>
  <c r="C2" i="6"/>
  <c r="C3" i="6"/>
  <c r="C4" i="6"/>
  <c r="C5" i="6"/>
  <c r="C6" i="6"/>
  <c r="C7" i="6"/>
  <c r="C8" i="6"/>
  <c r="C9" i="6"/>
  <c r="D1" i="6"/>
  <c r="D2" i="6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B11" i="6"/>
  <c r="B12" i="6"/>
  <c r="B13" i="6"/>
  <c r="B14" i="6"/>
  <c r="B15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A1" i="6"/>
  <c r="B1" i="6"/>
  <c r="A2" i="6"/>
  <c r="B2" i="6"/>
  <c r="A3" i="6"/>
  <c r="B3" i="6"/>
  <c r="B4" i="6"/>
  <c r="A5" i="6"/>
  <c r="B5" i="6"/>
  <c r="A6" i="6"/>
  <c r="B6" i="6"/>
  <c r="A7" i="6"/>
  <c r="B7" i="6"/>
  <c r="A8" i="6"/>
  <c r="B8" i="6"/>
  <c r="A9" i="6"/>
  <c r="B9" i="6"/>
  <c r="B10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" i="6"/>
  <c r="A11" i="6"/>
  <c r="A12" i="6"/>
  <c r="A13" i="6"/>
  <c r="A14" i="6"/>
  <c r="A15" i="6"/>
  <c r="A16" i="6"/>
  <c r="A17" i="6"/>
  <c r="A18" i="6"/>
  <c r="F40" i="2"/>
  <c r="Q10" i="6" l="1"/>
  <c r="Q14" i="6"/>
  <c r="Q13" i="6"/>
  <c r="Q11" i="6"/>
  <c r="Q12" i="6"/>
  <c r="U10" i="6"/>
  <c r="V10" i="6" s="1"/>
  <c r="U11" i="6"/>
  <c r="V11" i="6" s="1"/>
  <c r="U12" i="6"/>
  <c r="V12" i="6" s="1"/>
  <c r="U13" i="6"/>
  <c r="V13" i="6" s="1"/>
  <c r="U9" i="6"/>
  <c r="V9" i="6" s="1"/>
  <c r="Q9" i="6"/>
  <c r="U8" i="6" s="1"/>
  <c r="V8" i="6" s="1"/>
  <c r="Q8" i="6"/>
  <c r="U7" i="6" s="1"/>
  <c r="V7" i="6" s="1"/>
  <c r="Q7" i="6"/>
  <c r="U6" i="6" s="1"/>
  <c r="V6" i="6" s="1"/>
  <c r="Q6" i="6"/>
  <c r="L15" i="6"/>
  <c r="C9" i="5" a="1"/>
  <c r="C9" i="5" s="1"/>
  <c r="C14" i="5"/>
  <c r="C13" i="5"/>
  <c r="D3" i="5"/>
  <c r="B47" i="2"/>
  <c r="B36" i="2"/>
  <c r="B75" i="2"/>
  <c r="F91" i="2"/>
  <c r="B112" i="2"/>
  <c r="F140" i="2"/>
  <c r="F92" i="2"/>
  <c r="B17" i="2"/>
  <c r="E17" i="2"/>
  <c r="F17" i="2"/>
  <c r="B149" i="2"/>
  <c r="E149" i="2"/>
  <c r="F149" i="2"/>
  <c r="B150" i="2"/>
  <c r="E150" i="2"/>
  <c r="F150" i="2"/>
  <c r="B151" i="2"/>
  <c r="E151" i="2"/>
  <c r="F151" i="2"/>
  <c r="B152" i="2"/>
  <c r="E152" i="2"/>
  <c r="F152" i="2"/>
  <c r="B153" i="2"/>
  <c r="E153" i="2"/>
  <c r="F153" i="2"/>
  <c r="B38" i="2"/>
  <c r="B19" i="2"/>
  <c r="E127" i="2"/>
  <c r="B20" i="2"/>
  <c r="E20" i="2"/>
  <c r="F20" i="2"/>
  <c r="E36" i="2"/>
  <c r="F36" i="2"/>
  <c r="E66" i="2"/>
  <c r="F66" i="2"/>
  <c r="B9" i="2"/>
  <c r="E9" i="2"/>
  <c r="F9" i="2"/>
  <c r="B108" i="2"/>
  <c r="E108" i="2"/>
  <c r="F108" i="2"/>
  <c r="B147" i="2"/>
  <c r="E147" i="2"/>
  <c r="F147" i="2"/>
  <c r="B12" i="2"/>
  <c r="B137" i="2"/>
  <c r="F34" i="2"/>
  <c r="F25" i="2"/>
  <c r="F29" i="2"/>
  <c r="F30" i="2"/>
  <c r="F21" i="2"/>
  <c r="F22" i="2"/>
  <c r="F6" i="2"/>
  <c r="F80" i="2"/>
  <c r="F19" i="2"/>
  <c r="F10" i="2"/>
  <c r="F154" i="2"/>
  <c r="F14" i="2"/>
  <c r="F13" i="2"/>
  <c r="F105" i="2"/>
  <c r="F18" i="2"/>
  <c r="F27" i="2"/>
  <c r="F26" i="2"/>
  <c r="F94" i="2"/>
  <c r="F95" i="2"/>
  <c r="F32" i="2"/>
  <c r="F28" i="2"/>
  <c r="F31" i="2"/>
  <c r="F33" i="2"/>
  <c r="F24" i="2"/>
  <c r="F23" i="2"/>
  <c r="F3" i="2"/>
  <c r="F2" i="2"/>
  <c r="F96" i="2"/>
  <c r="F5" i="2"/>
  <c r="F15" i="2"/>
  <c r="F8" i="2"/>
  <c r="F16" i="2"/>
  <c r="F7" i="2"/>
  <c r="F127" i="2"/>
  <c r="B25" i="2"/>
  <c r="E25" i="2"/>
  <c r="B14" i="2"/>
  <c r="E14" i="2"/>
  <c r="B155" i="2"/>
  <c r="E155" i="2"/>
  <c r="F155" i="2"/>
  <c r="E4" i="2"/>
  <c r="F4" i="2"/>
  <c r="E12" i="2"/>
  <c r="F12" i="2"/>
  <c r="B11" i="2"/>
  <c r="E11" i="2"/>
  <c r="F11" i="2"/>
  <c r="B18" i="2"/>
  <c r="E18" i="2"/>
  <c r="B29" i="2"/>
  <c r="E29" i="2"/>
  <c r="E19" i="2"/>
  <c r="B34" i="2"/>
  <c r="E34" i="2"/>
  <c r="B30" i="2"/>
  <c r="E30" i="2"/>
  <c r="B10" i="2"/>
  <c r="E10" i="2"/>
  <c r="B154" i="2"/>
  <c r="E154" i="2"/>
  <c r="B26" i="2"/>
  <c r="E26" i="2"/>
  <c r="B2" i="2"/>
  <c r="E2" i="2"/>
  <c r="B16" i="2"/>
  <c r="E16" i="2"/>
  <c r="B31" i="2"/>
  <c r="E31" i="2"/>
  <c r="B32" i="2"/>
  <c r="E32" i="2"/>
  <c r="B7" i="2"/>
  <c r="E7" i="2"/>
  <c r="B15" i="2"/>
  <c r="E15" i="2"/>
  <c r="B8" i="2"/>
  <c r="E8" i="2"/>
  <c r="B23" i="2"/>
  <c r="E23" i="2"/>
  <c r="B96" i="2"/>
  <c r="E96" i="2"/>
  <c r="B5" i="2"/>
  <c r="E5" i="2"/>
  <c r="B28" i="2"/>
  <c r="E28" i="2"/>
  <c r="B33" i="2"/>
  <c r="E33" i="2"/>
  <c r="B21" i="2"/>
  <c r="E21" i="2"/>
  <c r="B6" i="2"/>
  <c r="E6" i="2"/>
  <c r="B22" i="2"/>
  <c r="E22" i="2"/>
  <c r="B13" i="2"/>
  <c r="E13" i="2"/>
  <c r="B69" i="2"/>
  <c r="F82" i="2"/>
  <c r="F141" i="2"/>
  <c r="F78" i="2"/>
  <c r="F61" i="2"/>
  <c r="B110" i="2"/>
  <c r="F110" i="2"/>
  <c r="E35" i="2"/>
  <c r="F37" i="2"/>
  <c r="F35" i="2"/>
  <c r="F125" i="2"/>
  <c r="F38" i="2"/>
  <c r="F44" i="2"/>
  <c r="F39" i="2"/>
  <c r="F131" i="2"/>
  <c r="F42" i="2"/>
  <c r="F43" i="2"/>
  <c r="F139" i="2"/>
  <c r="F56" i="2"/>
  <c r="F146" i="2"/>
  <c r="F99" i="2"/>
  <c r="F118" i="2"/>
  <c r="F116" i="2"/>
  <c r="F55" i="2"/>
  <c r="F59" i="2"/>
  <c r="F60" i="2"/>
  <c r="F62" i="2"/>
  <c r="F81" i="2"/>
  <c r="F84" i="2"/>
  <c r="F58" i="2"/>
  <c r="F115" i="2"/>
  <c r="F133" i="2"/>
  <c r="F144" i="2"/>
  <c r="F85" i="2"/>
  <c r="F136" i="2"/>
  <c r="F134" i="2"/>
  <c r="F57" i="2"/>
  <c r="F87" i="2"/>
  <c r="F114" i="2"/>
  <c r="F100" i="2"/>
  <c r="F137" i="2"/>
  <c r="F70" i="2"/>
  <c r="F135" i="2"/>
  <c r="F117" i="2"/>
  <c r="F54" i="2"/>
  <c r="F102" i="2"/>
  <c r="F65" i="2"/>
  <c r="F124" i="2"/>
  <c r="F104" i="2"/>
  <c r="F112" i="2"/>
  <c r="F46" i="2"/>
  <c r="F45" i="2"/>
  <c r="F138" i="2"/>
  <c r="F145" i="2"/>
  <c r="F47" i="2"/>
  <c r="F48" i="2"/>
  <c r="F121" i="2"/>
  <c r="F90" i="2"/>
  <c r="F79" i="2"/>
  <c r="F73" i="2"/>
  <c r="F71" i="2"/>
  <c r="F132" i="2"/>
  <c r="F49" i="2"/>
  <c r="F50" i="2"/>
  <c r="F52" i="2"/>
  <c r="F119" i="2"/>
  <c r="F68" i="2"/>
  <c r="F72" i="2"/>
  <c r="F69" i="2"/>
  <c r="F76" i="2"/>
  <c r="F75" i="2"/>
  <c r="F74" i="2"/>
  <c r="F120" i="2"/>
  <c r="F143" i="2"/>
  <c r="F83" i="2"/>
  <c r="F63" i="2"/>
  <c r="F89" i="2"/>
  <c r="F77" i="2"/>
  <c r="F148" i="2"/>
  <c r="F128" i="2"/>
  <c r="F97" i="2"/>
  <c r="F101" i="2"/>
  <c r="F111" i="2"/>
  <c r="F103" i="2"/>
  <c r="F106" i="2"/>
  <c r="F67" i="2"/>
  <c r="F107" i="2"/>
  <c r="F93" i="2"/>
  <c r="F51" i="2"/>
  <c r="F41" i="2"/>
  <c r="F130" i="2"/>
  <c r="F113" i="2"/>
  <c r="F122" i="2"/>
  <c r="F129" i="2"/>
  <c r="F64" i="2"/>
  <c r="F88" i="2"/>
  <c r="F109" i="2"/>
  <c r="F98" i="2"/>
  <c r="F86" i="2"/>
  <c r="F142" i="2"/>
  <c r="F126" i="2"/>
  <c r="F53" i="2"/>
  <c r="F123" i="2"/>
  <c r="B81" i="2"/>
  <c r="B143" i="2"/>
  <c r="B117" i="2"/>
  <c r="B68" i="2"/>
  <c r="B70" i="2"/>
  <c r="B53" i="2"/>
  <c r="B3" i="2"/>
  <c r="B24" i="2"/>
  <c r="B39" i="2"/>
  <c r="B127" i="2"/>
  <c r="B135" i="2"/>
  <c r="B60" i="2"/>
  <c r="B88" i="2"/>
  <c r="B55" i="2"/>
  <c r="B59" i="2"/>
  <c r="B124" i="2"/>
  <c r="B146" i="2"/>
  <c r="B54" i="2"/>
  <c r="B99" i="2"/>
  <c r="B118" i="2"/>
  <c r="B58" i="2"/>
  <c r="B115" i="2"/>
  <c r="B63" i="2"/>
  <c r="B85" i="2"/>
  <c r="B57" i="2"/>
  <c r="B80" i="2"/>
  <c r="B65" i="2"/>
  <c r="B100" i="2"/>
  <c r="B121" i="2"/>
  <c r="B140" i="2"/>
  <c r="B119" i="2"/>
  <c r="B72" i="2"/>
  <c r="B141" i="2"/>
  <c r="B76" i="2"/>
  <c r="B120" i="2"/>
  <c r="B74" i="2"/>
  <c r="B71" i="2"/>
  <c r="B90" i="2"/>
  <c r="B79" i="2"/>
  <c r="B73" i="2"/>
  <c r="B101" i="2"/>
  <c r="B37" i="2"/>
  <c r="B83" i="2"/>
  <c r="B46" i="2"/>
  <c r="B89" i="2"/>
  <c r="B77" i="2"/>
  <c r="B132" i="2"/>
  <c r="B49" i="2"/>
  <c r="B50" i="2"/>
  <c r="B138" i="2"/>
  <c r="B130" i="2"/>
  <c r="B44" i="2"/>
  <c r="B148" i="2"/>
  <c r="B97" i="2"/>
  <c r="B95" i="2"/>
  <c r="B102" i="2"/>
  <c r="B128" i="2"/>
  <c r="B105" i="2"/>
  <c r="B27" i="2"/>
  <c r="B84" i="2"/>
  <c r="B106" i="2"/>
  <c r="B67" i="2"/>
  <c r="B93" i="2"/>
  <c r="B51" i="2"/>
  <c r="B92" i="2"/>
  <c r="B35" i="2"/>
  <c r="B139" i="2"/>
  <c r="B113" i="2"/>
  <c r="B56" i="2"/>
  <c r="B111" i="2"/>
  <c r="B107" i="2"/>
  <c r="B129" i="2"/>
  <c r="B145" i="2"/>
  <c r="B48" i="2"/>
  <c r="B52" i="2"/>
  <c r="B109" i="2"/>
  <c r="B86" i="2"/>
  <c r="B64" i="2"/>
  <c r="B98" i="2"/>
  <c r="B142" i="2"/>
  <c r="B78" i="2"/>
  <c r="B123" i="2"/>
  <c r="B103" i="2"/>
  <c r="B91" i="2"/>
  <c r="B94" i="2"/>
  <c r="B116" i="2"/>
  <c r="B134" i="2"/>
  <c r="B61" i="2"/>
  <c r="B133" i="2"/>
  <c r="B136" i="2"/>
  <c r="B82" i="2"/>
  <c r="B62" i="2"/>
  <c r="B87" i="2"/>
  <c r="B114" i="2"/>
  <c r="B144" i="2"/>
  <c r="B41" i="2"/>
  <c r="B40" i="2"/>
  <c r="B42" i="2"/>
  <c r="B43" i="2"/>
  <c r="B131" i="2"/>
  <c r="B125" i="2"/>
  <c r="E3" i="2"/>
  <c r="E24" i="2"/>
  <c r="E119" i="2"/>
  <c r="E68" i="2"/>
  <c r="E51" i="2"/>
  <c r="E145" i="2"/>
  <c r="E144" i="2"/>
  <c r="E69" i="2"/>
  <c r="E76" i="2"/>
  <c r="E70" i="2"/>
  <c r="E74" i="2"/>
  <c r="E87" i="2"/>
  <c r="E75" i="2"/>
  <c r="E140" i="2"/>
  <c r="E120" i="2"/>
  <c r="E122" i="2"/>
  <c r="E81" i="2"/>
  <c r="E133" i="2"/>
  <c r="E61" i="2"/>
  <c r="E136" i="2"/>
  <c r="E62" i="2"/>
  <c r="E137" i="2"/>
  <c r="E72" i="2"/>
  <c r="E55" i="2"/>
  <c r="E60" i="2"/>
  <c r="E117" i="2"/>
  <c r="E109" i="2"/>
  <c r="E114" i="2"/>
  <c r="E82" i="2"/>
  <c r="E124" i="2"/>
  <c r="E143" i="2"/>
  <c r="E141" i="2"/>
  <c r="E59" i="2"/>
  <c r="E88" i="2"/>
  <c r="E64" i="2"/>
  <c r="E129" i="2"/>
  <c r="E37" i="2"/>
  <c r="E131" i="2"/>
  <c r="E111" i="2"/>
  <c r="E112" i="2"/>
  <c r="E39" i="2"/>
  <c r="E130" i="2"/>
  <c r="E125" i="2"/>
  <c r="E139" i="2"/>
  <c r="E146" i="2"/>
  <c r="E105" i="2"/>
  <c r="E54" i="2"/>
  <c r="E99" i="2"/>
  <c r="E118" i="2"/>
  <c r="E58" i="2"/>
  <c r="E115" i="2"/>
  <c r="E85" i="2"/>
  <c r="E80" i="2"/>
  <c r="E65" i="2"/>
  <c r="E86" i="2"/>
  <c r="E106" i="2"/>
  <c r="E67" i="2"/>
  <c r="E71" i="2"/>
  <c r="E90" i="2"/>
  <c r="E94" i="2"/>
  <c r="E79" i="2"/>
  <c r="E73" i="2"/>
  <c r="E104" i="2"/>
  <c r="E45" i="2"/>
  <c r="E52" i="2"/>
  <c r="E100" i="2"/>
  <c r="E134" i="2"/>
  <c r="E83" i="2"/>
  <c r="E27" i="2"/>
  <c r="E84" i="2"/>
  <c r="E63" i="2"/>
  <c r="E93" i="2"/>
  <c r="E77" i="2"/>
  <c r="E91" i="2"/>
  <c r="E92" i="2"/>
  <c r="E44" i="2"/>
  <c r="E56" i="2"/>
  <c r="E121" i="2"/>
  <c r="E103" i="2"/>
  <c r="E49" i="2"/>
  <c r="E148" i="2"/>
  <c r="E97" i="2"/>
  <c r="E102" i="2"/>
  <c r="E101" i="2"/>
  <c r="E110" i="2"/>
  <c r="E57" i="2"/>
  <c r="E47" i="2"/>
  <c r="E132" i="2"/>
  <c r="E126" i="2"/>
  <c r="E89" i="2"/>
  <c r="E48" i="2"/>
  <c r="E142" i="2"/>
  <c r="E42" i="2"/>
  <c r="E116" i="2"/>
  <c r="E43" i="2"/>
  <c r="E95" i="2"/>
  <c r="E50" i="2"/>
  <c r="E38" i="2"/>
  <c r="E41" i="2"/>
  <c r="E40" i="2"/>
  <c r="E123" i="2"/>
  <c r="E46" i="2"/>
  <c r="E138" i="2"/>
  <c r="E128" i="2"/>
  <c r="E98" i="2"/>
  <c r="E78" i="2"/>
  <c r="E113" i="2"/>
  <c r="E135" i="2"/>
  <c r="E107" i="2"/>
  <c r="C15" i="5" l="1"/>
  <c r="Q15" i="6"/>
  <c r="B3" i="5"/>
  <c r="U5" i="6"/>
  <c r="V5" i="6" s="1"/>
  <c r="Q4" i="5"/>
  <c r="Q5" i="5"/>
  <c r="Q6" i="5"/>
  <c r="Q7" i="5"/>
  <c r="Q8" i="5"/>
  <c r="Q10" i="5"/>
  <c r="Q11" i="5"/>
  <c r="Q9" i="5"/>
  <c r="D4" i="5" l="1"/>
  <c r="O22" i="6"/>
  <c r="E4" i="5"/>
  <c r="Q3" i="5"/>
  <c r="Q12" i="5" s="1"/>
  <c r="C8" i="5"/>
  <c r="D8" i="5" s="1"/>
  <c r="D9" i="5"/>
  <c r="C4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<sst xmlns="http://schemas.openxmlformats.org/spreadsheetml/2006/main" count="3668" uniqueCount="1208">
  <si>
    <t>NAME</t>
  </si>
  <si>
    <t>CASELOAD</t>
  </si>
  <si>
    <t>PROGRAM</t>
  </si>
  <si>
    <t>LANGUAGE</t>
  </si>
  <si>
    <t>IN/OUT</t>
  </si>
  <si>
    <t>COMMENTS</t>
  </si>
  <si>
    <t># of CIO'S</t>
  </si>
  <si>
    <t>TIMES ASSIGNED</t>
  </si>
  <si>
    <t>Medearis (2&amp;4 Tu), Karlynda</t>
  </si>
  <si>
    <t>GRWP</t>
  </si>
  <si>
    <t>English</t>
  </si>
  <si>
    <t>Hitchcock, Leslie</t>
  </si>
  <si>
    <t>Palafox, Amairany</t>
  </si>
  <si>
    <t>Spanish</t>
  </si>
  <si>
    <t>Nungaray, Tiffany</t>
  </si>
  <si>
    <t>GR</t>
  </si>
  <si>
    <t>Campos,1 (1 &amp; 3 W), Alexa</t>
  </si>
  <si>
    <t>9:49*</t>
  </si>
  <si>
    <t>Sandoval, Nuvia</t>
  </si>
  <si>
    <t>2:55*</t>
  </si>
  <si>
    <t>Garcia, Carolina</t>
  </si>
  <si>
    <t>9:15*</t>
  </si>
  <si>
    <t>Brito, Gladys</t>
  </si>
  <si>
    <t>8:29*</t>
  </si>
  <si>
    <t>Garcia, Anel</t>
  </si>
  <si>
    <t>Ontiveros,, Jessica</t>
  </si>
  <si>
    <t>Miller, Jetone</t>
  </si>
  <si>
    <t>CF</t>
  </si>
  <si>
    <t>Barrera,2, Stephanie</t>
  </si>
  <si>
    <t>CF/MC</t>
  </si>
  <si>
    <t>4:43*</t>
  </si>
  <si>
    <t>Chiu, Hin</t>
  </si>
  <si>
    <t>Garcia, Karen</t>
  </si>
  <si>
    <t>10:07*</t>
  </si>
  <si>
    <t>Nehru,2 (W &amp; Th), Rajni</t>
  </si>
  <si>
    <t>Ealy,2, April</t>
  </si>
  <si>
    <t>Christianson, Emily</t>
  </si>
  <si>
    <t>Code, Lara</t>
  </si>
  <si>
    <t>Guidry, Shadonna</t>
  </si>
  <si>
    <t>Davis, Sharon</t>
  </si>
  <si>
    <t>11:29*</t>
  </si>
  <si>
    <t>Le,2, Quang Trung</t>
  </si>
  <si>
    <t>3:38*</t>
  </si>
  <si>
    <t>Rodriguez,2, Erika</t>
  </si>
  <si>
    <t>Staley,2, Margaret</t>
  </si>
  <si>
    <t>NO CIO</t>
  </si>
  <si>
    <t>Cocoba, Daniel</t>
  </si>
  <si>
    <t>specialized</t>
  </si>
  <si>
    <t>Barrett, Alison</t>
  </si>
  <si>
    <t>Sotelo, Danica</t>
  </si>
  <si>
    <t>Magadan, Carleen</t>
  </si>
  <si>
    <t>Oliver, Steven</t>
  </si>
  <si>
    <t>Fouste, Jenna</t>
  </si>
  <si>
    <t>Gonzales, Tamika</t>
  </si>
  <si>
    <t>Zavala, Adriana</t>
  </si>
  <si>
    <t>Sandoval, Liliana</t>
  </si>
  <si>
    <t>Valdivia, Carolina</t>
  </si>
  <si>
    <t>Starr, Ebonae</t>
  </si>
  <si>
    <t>Ramirez, Carrie</t>
  </si>
  <si>
    <t>Sikand, Suki</t>
  </si>
  <si>
    <t>Garcia, Joey</t>
  </si>
  <si>
    <t>Contreras, Jonathan</t>
  </si>
  <si>
    <t>Garcia Molina, Ruben</t>
  </si>
  <si>
    <t>Renfroe, Cassandra</t>
  </si>
  <si>
    <t>Robbins, Crystal</t>
  </si>
  <si>
    <t>Taghizadeh, Sahar</t>
  </si>
  <si>
    <t>Azizi, Paria</t>
  </si>
  <si>
    <t>Than,2, Lucy</t>
  </si>
  <si>
    <t>10:20*</t>
  </si>
  <si>
    <t>Nguyen, Dung</t>
  </si>
  <si>
    <t>Nguyen, Nhi</t>
  </si>
  <si>
    <t>3:07*</t>
  </si>
  <si>
    <t>Lai, Trang</t>
  </si>
  <si>
    <t>Perez, Erendira</t>
  </si>
  <si>
    <t>Lara, Jacqueline</t>
  </si>
  <si>
    <t>12:21*</t>
  </si>
  <si>
    <t>Perez, Veronica</t>
  </si>
  <si>
    <t>Cano,2, Mayra</t>
  </si>
  <si>
    <t>1:58*</t>
  </si>
  <si>
    <t>3:20*</t>
  </si>
  <si>
    <t>Agame, Silvia</t>
  </si>
  <si>
    <t>10:41*</t>
  </si>
  <si>
    <t>Parra,2, Gustavo</t>
  </si>
  <si>
    <t>Sanchez, Ana</t>
  </si>
  <si>
    <t>Collazo, Marycruz</t>
  </si>
  <si>
    <t>Nava, Yuliana</t>
  </si>
  <si>
    <t>2:50*</t>
  </si>
  <si>
    <t>4:19*</t>
  </si>
  <si>
    <t>Frausto-Flores,2 (W &amp; Th), Reyna</t>
  </si>
  <si>
    <t>Mascorro,2, Cassandra</t>
  </si>
  <si>
    <t>Catalan, Christopher</t>
  </si>
  <si>
    <t>Sepulveda, Erika</t>
  </si>
  <si>
    <t>Cesar, Damaris</t>
  </si>
  <si>
    <t>Arambula, Sandra</t>
  </si>
  <si>
    <t>Morales, Ana</t>
  </si>
  <si>
    <t>Rivas, Wendy</t>
  </si>
  <si>
    <t>Salas, Adriana</t>
  </si>
  <si>
    <t>De Los Santos, Sarah</t>
  </si>
  <si>
    <t>Diaz, Maribel</t>
  </si>
  <si>
    <t>Naquira Zegarra, Karen</t>
  </si>
  <si>
    <t>Roman, Maria</t>
  </si>
  <si>
    <t>Smith, A.B.D (Tu &amp; Wed), Kyra</t>
  </si>
  <si>
    <t>MC</t>
  </si>
  <si>
    <t>ABD</t>
  </si>
  <si>
    <t>Ortega, A.B.D, (W &amp; Th), Krista</t>
  </si>
  <si>
    <t>ABD/5:00</t>
  </si>
  <si>
    <t>Rahmani, A.B.D (W &amp; Th), Neda</t>
  </si>
  <si>
    <t>Nguyen, A.B.D (W &amp; Th), Le</t>
  </si>
  <si>
    <t>ABD/4:30</t>
  </si>
  <si>
    <t>Carlos, A.B.D, (W &amp; Th), Anamaria</t>
  </si>
  <si>
    <t>1:27*</t>
  </si>
  <si>
    <t>Olvera, A.B.D, Lesliefer</t>
  </si>
  <si>
    <t>Granja, A.B.D, (Tu &amp; Wed), Hayde</t>
  </si>
  <si>
    <t>1:05*</t>
  </si>
  <si>
    <t>Meza,2 (M &amp; T), Nancy</t>
  </si>
  <si>
    <t>Spanish (WMS english)</t>
  </si>
  <si>
    <t>Munoz, A.B.D (W &amp; Th), Rosie</t>
  </si>
  <si>
    <t>Recio,2, Alec</t>
  </si>
  <si>
    <t>Derar, Abdurahman</t>
  </si>
  <si>
    <t>Pelzer, Stephanie</t>
  </si>
  <si>
    <t>CST</t>
  </si>
  <si>
    <t>Ambas,2, Angelo</t>
  </si>
  <si>
    <t>Dodd,2 (Tues/Thurs), Stephanie</t>
  </si>
  <si>
    <t>Lizarraga,2, Melissa</t>
  </si>
  <si>
    <t>Stewart, Destiny</t>
  </si>
  <si>
    <t>NA</t>
  </si>
  <si>
    <t>Nguyen, Tam</t>
  </si>
  <si>
    <t>Chavira, Rafael</t>
  </si>
  <si>
    <t>Nol,2 (W &amp; Th), Melissa</t>
  </si>
  <si>
    <t>Carlos,2, Marisela</t>
  </si>
  <si>
    <t>Martinez,2, Lucila</t>
  </si>
  <si>
    <t>Zavala,2, Mirna</t>
  </si>
  <si>
    <t>Cayetano Rodrig, (M &amp; Tu), Christian</t>
  </si>
  <si>
    <t>Dorame, Gabriela</t>
  </si>
  <si>
    <t>Jimenez, Erika</t>
  </si>
  <si>
    <t>Tran,2 (W,Th), Carolyne</t>
  </si>
  <si>
    <t>Page,2 (T &amp; W), Amber</t>
  </si>
  <si>
    <t>Berber,2, Priscilla</t>
  </si>
  <si>
    <t>Stuteville,2, Suzanne</t>
  </si>
  <si>
    <t>Lin, Ding</t>
  </si>
  <si>
    <t>8:44*</t>
  </si>
  <si>
    <t>Gonzalez,2 (M &amp; Tu), Hortencia</t>
  </si>
  <si>
    <t>Andrade,2(M,Tu), Jennifer</t>
  </si>
  <si>
    <t>Balderas (M &amp; Tu), Janina</t>
  </si>
  <si>
    <t>Hamzehlou,2 (M &amp; Tu), Ronak</t>
  </si>
  <si>
    <t>Sarrazin, A.B.D (M &amp; Tu), Cheri</t>
  </si>
  <si>
    <t>Ho, A.B.D, (W&amp;Th), Brian</t>
  </si>
  <si>
    <t>30LS033N04 (TW/TC)</t>
  </si>
  <si>
    <t>Jimenez, (M &amp; Tu), Ingrid</t>
  </si>
  <si>
    <t>Roman,1 (2&amp;4 Th), Chris</t>
  </si>
  <si>
    <t>Hale, Tierra</t>
  </si>
  <si>
    <t>Noriega, Elloise</t>
  </si>
  <si>
    <t>Estillomo,2, Alicia</t>
  </si>
  <si>
    <t>De La Cruz,2, David</t>
  </si>
  <si>
    <t>Competente, Randy</t>
  </si>
  <si>
    <t>Brown,2, Roneisha</t>
  </si>
  <si>
    <t>Spruce, Denise</t>
  </si>
  <si>
    <t>Mayfield, Diamond</t>
  </si>
  <si>
    <t>Cortes, Denisse</t>
  </si>
  <si>
    <t>OUT</t>
  </si>
  <si>
    <t>Hernandez, Aracely</t>
  </si>
  <si>
    <t>Santos, Geraldine</t>
  </si>
  <si>
    <t>Hernandez, Oscar O</t>
  </si>
  <si>
    <t>Estevez, Loretta</t>
  </si>
  <si>
    <t>Cutsail, A.B.D, (Tu &amp; Th), Sapphire</t>
  </si>
  <si>
    <t>Ibarra, A.B.D, (W &amp; Th), Brenda</t>
  </si>
  <si>
    <t>Piggue, Terrica</t>
  </si>
  <si>
    <t>Martinez,1 (1 &amp; 3 W), Danny</t>
  </si>
  <si>
    <t>11:55*</t>
  </si>
  <si>
    <t>1:07*</t>
  </si>
  <si>
    <t>2:52*</t>
  </si>
  <si>
    <t>Hernandez, Rochelle</t>
  </si>
  <si>
    <t>Noori,2, Mursal</t>
  </si>
  <si>
    <t>ICT</t>
  </si>
  <si>
    <t>Garcia, A.B.D (T &amp; Th), Irma</t>
  </si>
  <si>
    <t>30ES032M0G</t>
  </si>
  <si>
    <t>Marquez, (2&amp;4 Th), Ana</t>
  </si>
  <si>
    <t>Castro,1 (1&amp;3 Th), Yolanda</t>
  </si>
  <si>
    <t>Anayas 1, Julie</t>
  </si>
  <si>
    <t>Felix, Brittany</t>
  </si>
  <si>
    <t>Martinez,2, Crystal</t>
  </si>
  <si>
    <t>Sosa,2, Lucette</t>
  </si>
  <si>
    <t>Long, Sixin</t>
  </si>
  <si>
    <t>Jenkins, Dianna</t>
  </si>
  <si>
    <t>Ejeye, A.B.D (Th &amp; F), Adeola</t>
  </si>
  <si>
    <t>Nguyen, Kha</t>
  </si>
  <si>
    <t>Gartin, Elizabeth</t>
  </si>
  <si>
    <t>Bocanegra, Karina</t>
  </si>
  <si>
    <t>Balderas, A.B.D, (Th &amp; F), Jose</t>
  </si>
  <si>
    <t>Cao,2 (W &amp; Th), Truc Linh</t>
  </si>
  <si>
    <t>Arriola, Carlos</t>
  </si>
  <si>
    <t>Arroyo,2, Evelyn</t>
  </si>
  <si>
    <t>Garcia, Veronica</t>
  </si>
  <si>
    <t>Tejeda Rodriguez,2(M,Tu), Karla</t>
  </si>
  <si>
    <t>Le, Thanh</t>
  </si>
  <si>
    <t>Darvin, A.B.D (W &amp; Th), Norman</t>
  </si>
  <si>
    <t>Name</t>
  </si>
  <si>
    <t>Caseload</t>
  </si>
  <si>
    <t>Program</t>
  </si>
  <si>
    <t>Category</t>
  </si>
  <si>
    <t>Comments</t>
  </si>
  <si>
    <t>IN/OUT Reason</t>
  </si>
  <si>
    <t>Status</t>
  </si>
  <si>
    <t>Schedule</t>
  </si>
  <si>
    <t>Abdelhafez, Faten</t>
  </si>
  <si>
    <t>30LS035K1K (Restricted)</t>
  </si>
  <si>
    <t>CMET</t>
  </si>
  <si>
    <t>IN</t>
  </si>
  <si>
    <t>Available</t>
  </si>
  <si>
    <t>30LS03V805</t>
  </si>
  <si>
    <t>Agor,2, Glory</t>
  </si>
  <si>
    <t>30LS03AE04</t>
  </si>
  <si>
    <t>IET</t>
  </si>
  <si>
    <t>VAC 11/20-11/21 JT</t>
  </si>
  <si>
    <t>OUT - Vacation</t>
  </si>
  <si>
    <t>Not Available</t>
  </si>
  <si>
    <t>Aguilar, 2 (W &amp; Th), Vanessa</t>
  </si>
  <si>
    <t>30LS03DB08</t>
  </si>
  <si>
    <t>CF/CP/MC</t>
  </si>
  <si>
    <t>Aguilar,2, Andrea</t>
  </si>
  <si>
    <t>30LS03YL0B</t>
  </si>
  <si>
    <t>Resigned 8/10-CL</t>
  </si>
  <si>
    <t>Aguirre, Jackie</t>
  </si>
  <si>
    <t>30LS03K507</t>
  </si>
  <si>
    <t>Not Applicable</t>
  </si>
  <si>
    <t>Alcala (Telework), Gabriela</t>
  </si>
  <si>
    <t>30LS03UY01 (TW/TC)</t>
  </si>
  <si>
    <t>OUT - Flex</t>
  </si>
  <si>
    <t>Alcantara, Annette</t>
  </si>
  <si>
    <t>30LS03TK04 (TW/TC)</t>
  </si>
  <si>
    <t>Alcantra,2, Lance</t>
  </si>
  <si>
    <t>30ES03310K</t>
  </si>
  <si>
    <t>CST - No CIOs - SD</t>
  </si>
  <si>
    <t>IN - Off Board</t>
  </si>
  <si>
    <t>Alcaraz, Veronica</t>
  </si>
  <si>
    <t>30LS03660A</t>
  </si>
  <si>
    <t>Alcasid, Selina</t>
  </si>
  <si>
    <t>30LS03WU0A</t>
  </si>
  <si>
    <t>Aldana, Charlene</t>
  </si>
  <si>
    <t>30LS03XC05</t>
  </si>
  <si>
    <t>Alvarez,2, Ashley</t>
  </si>
  <si>
    <t>30LS038Y04</t>
  </si>
  <si>
    <t>**No CIOs or apps**</t>
  </si>
  <si>
    <t>Alvizurez, (Pw), Lucy</t>
  </si>
  <si>
    <t>30LS036600</t>
  </si>
  <si>
    <t>Amador, Marjorie</t>
  </si>
  <si>
    <t>30LS03JO0A</t>
  </si>
  <si>
    <t>30ES033A0G</t>
  </si>
  <si>
    <t>Mentor - No Cios, No Tasks - AS</t>
  </si>
  <si>
    <t>30LS03AC0B</t>
  </si>
  <si>
    <t>CF/GRC</t>
  </si>
  <si>
    <t>30LS03KO09</t>
  </si>
  <si>
    <t>No CIOs/No Tasks - Special Project</t>
  </si>
  <si>
    <t>IN - SpecialProject</t>
  </si>
  <si>
    <t>Aparicio, Maria</t>
  </si>
  <si>
    <t>30ES03QD02 (TW/TC)</t>
  </si>
  <si>
    <t>Pre-Approved Vacation</t>
  </si>
  <si>
    <t>30LS035K02 (Restricted)</t>
  </si>
  <si>
    <t>Arana 2, Melissa</t>
  </si>
  <si>
    <t>30LS03EX05</t>
  </si>
  <si>
    <t>Araujo, Yahel</t>
  </si>
  <si>
    <t>30LS03660B</t>
  </si>
  <si>
    <t>Arevalo, Paola</t>
  </si>
  <si>
    <t>30LS035K1A (Restricted)</t>
  </si>
  <si>
    <t>Armendariz 2 (T &amp; W), Jana</t>
  </si>
  <si>
    <t>30LS03JP05</t>
  </si>
  <si>
    <t>VAC 11/16-11/20 JT</t>
  </si>
  <si>
    <t>30ES032L04</t>
  </si>
  <si>
    <t>11/9 - 11/20/2023 Pre-approved VAC JB</t>
  </si>
  <si>
    <t>OUT - Pre Approved</t>
  </si>
  <si>
    <t>30ES032X04</t>
  </si>
  <si>
    <t>Pre-approved Vac 11/13/2023-11/22/2023 (jbh)</t>
  </si>
  <si>
    <t>Ayon De La Rosa, Gary</t>
  </si>
  <si>
    <t>30LS03MI03</t>
  </si>
  <si>
    <t>CF/CFC/CP/GR</t>
  </si>
  <si>
    <t>Mail-in Unit, BCW only, No Walk-in, No CIO</t>
  </si>
  <si>
    <t>30ES032L06 (Restricted)</t>
  </si>
  <si>
    <t>2 CIO's per day - Specialized ET</t>
  </si>
  <si>
    <t>Bahena-Hipolito, Judith</t>
  </si>
  <si>
    <t>30LS037C03</t>
  </si>
  <si>
    <t>Bailey 2 (M &amp; T), Daryl</t>
  </si>
  <si>
    <t>30LS03EC04</t>
  </si>
  <si>
    <t>Vacation linked to Holiday - EV</t>
  </si>
  <si>
    <t>30LS03VQ08 (TW/TC)</t>
  </si>
  <si>
    <t>Telecommuting. No Tasks/Off Board -Task Force (VG)</t>
  </si>
  <si>
    <t>IN – Telework/Telecommuting</t>
  </si>
  <si>
    <t>30LS033N08</t>
  </si>
  <si>
    <t>Banked, Caseload</t>
  </si>
  <si>
    <t>J0DX</t>
  </si>
  <si>
    <t>CF/GR/MC</t>
  </si>
  <si>
    <t>Banuelos 2, Cynthia</t>
  </si>
  <si>
    <t>30LS03JI03</t>
  </si>
  <si>
    <t>Barksdale (Telework), Shirley</t>
  </si>
  <si>
    <t>30LS03US06 (TW/TC)</t>
  </si>
  <si>
    <t>Barreiro, (Npt), Rocio</t>
  </si>
  <si>
    <t>30LS034A08</t>
  </si>
  <si>
    <t>30ES03300F</t>
  </si>
  <si>
    <t>30LS035K0H (Restricted)</t>
  </si>
  <si>
    <t>Becerra, Rosa</t>
  </si>
  <si>
    <t>30FS0ZOD0J</t>
  </si>
  <si>
    <t>Benson, 2 (Th &amp; F), Erik</t>
  </si>
  <si>
    <t>30LS03JT07 (ICT)</t>
  </si>
  <si>
    <t>30LS03EX08</t>
  </si>
  <si>
    <t>no cios, no apps</t>
  </si>
  <si>
    <t>Bernal,1, Tito</t>
  </si>
  <si>
    <t>30LS03A904</t>
  </si>
  <si>
    <t>XC</t>
  </si>
  <si>
    <t>Bethune-Gray, (Npt), Ta Mera</t>
  </si>
  <si>
    <t>30LS036602</t>
  </si>
  <si>
    <t>Vac 11/20/23-11/22/23- CG</t>
  </si>
  <si>
    <t>Bocanegra, 2 (T &amp; Th), Gladys</t>
  </si>
  <si>
    <t>30LS03DF0A</t>
  </si>
  <si>
    <t>30LS03V809</t>
  </si>
  <si>
    <t>Botello, 1 (1 &amp; 3 T), Demetrio</t>
  </si>
  <si>
    <t>30LS03BK09</t>
  </si>
  <si>
    <t>Botello, Stacy</t>
  </si>
  <si>
    <t>30LS035K1D (Restricted)</t>
  </si>
  <si>
    <t>30LS03AD02</t>
  </si>
  <si>
    <t>Brock, 2 (T&amp;Th), Cher</t>
  </si>
  <si>
    <t>30LS03JY06</t>
  </si>
  <si>
    <t>Intake CF Special Project- No CIOs</t>
  </si>
  <si>
    <t>30ES032X0A</t>
  </si>
  <si>
    <t>Out, ER</t>
  </si>
  <si>
    <t>Bui, Tracie</t>
  </si>
  <si>
    <t>30LS03660C</t>
  </si>
  <si>
    <t>Calderon (Telework), Amber</t>
  </si>
  <si>
    <t>30LS03UY02 (TW/TC)</t>
  </si>
  <si>
    <t>Vacation - YA</t>
  </si>
  <si>
    <t>Calderon, (Npw), Elizabeth</t>
  </si>
  <si>
    <t>30LS036202</t>
  </si>
  <si>
    <t>Vac 11/20/23-11/22/23-CG</t>
  </si>
  <si>
    <t>Calderon, Mariana</t>
  </si>
  <si>
    <t>30LS035K01</t>
  </si>
  <si>
    <t>Calilung, (Pw), Joshua</t>
  </si>
  <si>
    <t>30LS037C04</t>
  </si>
  <si>
    <t>Calvillo 2, Jessie</t>
  </si>
  <si>
    <t>30LS03D80H</t>
  </si>
  <si>
    <t>**NO ASSIGNMENTS TF</t>
  </si>
  <si>
    <t>30LS03AB02</t>
  </si>
  <si>
    <t>30ES033C0E</t>
  </si>
  <si>
    <t>30ES032T05</t>
  </si>
  <si>
    <t>LOA - returning 01/08/2024 - mc</t>
  </si>
  <si>
    <t>OUT - LOA</t>
  </si>
  <si>
    <t>Carbajal 2 (T &amp; Th), Petra</t>
  </si>
  <si>
    <t>30LS03JT02</t>
  </si>
  <si>
    <t>Cardenas, Maria</t>
  </si>
  <si>
    <t>30LS03QF02 (TW/TC)</t>
  </si>
  <si>
    <t>30LS033N06</t>
  </si>
  <si>
    <t>30ES033C0G</t>
  </si>
  <si>
    <t>Carmona, (Npt), Joseph</t>
  </si>
  <si>
    <t>30LS034A01</t>
  </si>
  <si>
    <t>Caro, Nadia Selene</t>
  </si>
  <si>
    <t>30LS035K1E (Restricted)</t>
  </si>
  <si>
    <t>Carracedo 2, Cecilia</t>
  </si>
  <si>
    <t>30LS03DA02</t>
  </si>
  <si>
    <t>Carraway, Kendra</t>
  </si>
  <si>
    <t>K4C0</t>
  </si>
  <si>
    <t>Carrier (Telework), Lisa</t>
  </si>
  <si>
    <t>30LS03US00 (TW/TC)</t>
  </si>
  <si>
    <t>Carrington,1, Brian</t>
  </si>
  <si>
    <t>30LS03A704</t>
  </si>
  <si>
    <t>Promotion as 09/08/23 sa</t>
  </si>
  <si>
    <t>Castillo, 2 (T &amp; W), Fernando</t>
  </si>
  <si>
    <t>30LS03JP06</t>
  </si>
  <si>
    <t>Castillo, Xochitl</t>
  </si>
  <si>
    <t>30LS03WH02</t>
  </si>
  <si>
    <t>OUT PRE APPROVED JV</t>
  </si>
  <si>
    <t>Castro, Camila</t>
  </si>
  <si>
    <t>30LS03DA01</t>
  </si>
  <si>
    <t>out thru 11/27/23- VN</t>
  </si>
  <si>
    <t>30LS03AA03</t>
  </si>
  <si>
    <t>30LS035K0C (Restricted)</t>
  </si>
  <si>
    <t>30ES033A05</t>
  </si>
  <si>
    <t>Telecommuting - Mentor - No Cios, No Tasks - AS</t>
  </si>
  <si>
    <t>Celestine, (Pw), Ivanoe</t>
  </si>
  <si>
    <t>30LS03MQ03</t>
  </si>
  <si>
    <t>Cerda, 2 (W &amp; Th), Evelyn</t>
  </si>
  <si>
    <t>30LS03JY03</t>
  </si>
  <si>
    <t>Out at 1pm/AZ</t>
  </si>
  <si>
    <t>OUT - Early</t>
  </si>
  <si>
    <t>Cervantes, Alma</t>
  </si>
  <si>
    <t>K2B0</t>
  </si>
  <si>
    <t>Cervantes, Melissa</t>
  </si>
  <si>
    <t>30LS036605</t>
  </si>
  <si>
    <t>Vac 11/20/23 to 11/22/23-CG</t>
  </si>
  <si>
    <t>Cervantes, Yajaira</t>
  </si>
  <si>
    <t>30LS036607</t>
  </si>
  <si>
    <t>30LS035K03 (Restricted)</t>
  </si>
  <si>
    <t>Chavez, Monica</t>
  </si>
  <si>
    <t>30LS03660D</t>
  </si>
  <si>
    <t>Chavez,2, Olivia</t>
  </si>
  <si>
    <t>30LS03JI04</t>
  </si>
  <si>
    <t>Out AK</t>
  </si>
  <si>
    <t>30LS03V80A</t>
  </si>
  <si>
    <t>Assisting CST - TR</t>
  </si>
  <si>
    <t>Chea-Ung, Michelle</t>
  </si>
  <si>
    <t>30LS03NE0H</t>
  </si>
  <si>
    <t>30LS03YL06</t>
  </si>
  <si>
    <t>30LS03YL07</t>
  </si>
  <si>
    <t>Cid, Vanessa</t>
  </si>
  <si>
    <t>30ES033104</t>
  </si>
  <si>
    <t>30LS035K0I (Restricted)</t>
  </si>
  <si>
    <t>30ES032T0A</t>
  </si>
  <si>
    <t>Collazo, 1 (1 &amp; 3 T), Ana</t>
  </si>
  <si>
    <t>30LS03XC04</t>
  </si>
  <si>
    <t>TRO NO CIOs-LO</t>
  </si>
  <si>
    <t>30LS038Y07</t>
  </si>
  <si>
    <t>30ES032T0B</t>
  </si>
  <si>
    <t>OUT -resigned 10/31/2023- mc</t>
  </si>
  <si>
    <t>30LS035K0W (Restricted)</t>
  </si>
  <si>
    <t>2 CIOs per day - Specialized ET. VN</t>
  </si>
  <si>
    <t>Corral 2, Manuel</t>
  </si>
  <si>
    <t>30LS03JO05</t>
  </si>
  <si>
    <t>30LS03G409</t>
  </si>
  <si>
    <t>Cortez,2, Michael</t>
  </si>
  <si>
    <t>30LS03DB09</t>
  </si>
  <si>
    <t>30LS033N0A</t>
  </si>
  <si>
    <t>out eg</t>
  </si>
  <si>
    <t>Daniels,2, Patricia</t>
  </si>
  <si>
    <t>30LS03JT08</t>
  </si>
  <si>
    <t>approved vacation - MC</t>
  </si>
  <si>
    <t>Dao (Telework), Christine</t>
  </si>
  <si>
    <t>30LS03UY05 (TW/TC)</t>
  </si>
  <si>
    <t>VAC 11/20 - 12/05 - YA</t>
  </si>
  <si>
    <t>Dao, Richard</t>
  </si>
  <si>
    <t>30LS033N02</t>
  </si>
  <si>
    <t>30ES032M03</t>
  </si>
  <si>
    <t>Pre-approved Vac 11/20/2023 3 pm-4:30 pm (jbh)</t>
  </si>
  <si>
    <t>Davalos, Mariana</t>
  </si>
  <si>
    <t>30LS036103</t>
  </si>
  <si>
    <t>30ES032V0D</t>
  </si>
  <si>
    <t>30ES033A0E</t>
  </si>
  <si>
    <t>Delatorre, Luisa</t>
  </si>
  <si>
    <t>30AS0RCM0H</t>
  </si>
  <si>
    <t>Delgado, 2 (W &amp; Th), Jessica</t>
  </si>
  <si>
    <t>30LS03JY09</t>
  </si>
  <si>
    <t>Delgado, Andy</t>
  </si>
  <si>
    <t>30LS03A701</t>
  </si>
  <si>
    <t>out 11/20-11/21 sa</t>
  </si>
  <si>
    <t>Delzer, Michelle</t>
  </si>
  <si>
    <t>30LS03K50J</t>
  </si>
  <si>
    <t>30ES032W04</t>
  </si>
  <si>
    <t>CST asistance---NO CIO--PCN</t>
  </si>
  <si>
    <t>Det, Ocpc</t>
  </si>
  <si>
    <t>JDET</t>
  </si>
  <si>
    <t>Diaz (Telework), Shannon</t>
  </si>
  <si>
    <t>30LS03US05 (TW/TC)</t>
  </si>
  <si>
    <t>out JT</t>
  </si>
  <si>
    <t>Diaz, (Ptu), Evelyn</t>
  </si>
  <si>
    <t>30LS037C09</t>
  </si>
  <si>
    <t>Diaz, Brittany</t>
  </si>
  <si>
    <t>30LS034A04</t>
  </si>
  <si>
    <t>Diaz, Jennifer</t>
  </si>
  <si>
    <t>OCPS5</t>
  </si>
  <si>
    <t>30LS035K04 (Restricted)</t>
  </si>
  <si>
    <t>Diaz, Sergio</t>
  </si>
  <si>
    <t>30LS036601</t>
  </si>
  <si>
    <t>Diego (Lis Only T/W), Janette</t>
  </si>
  <si>
    <t>30LS03UZ00 (Restricted) (TW/TC)</t>
  </si>
  <si>
    <t>30ES033A0D</t>
  </si>
  <si>
    <t>30LS03VQ01</t>
  </si>
  <si>
    <t>No CIOs or Tasks - Task Force (VG)</t>
  </si>
  <si>
    <t>Dorwin, Maureen</t>
  </si>
  <si>
    <t>30LS03QC03 (TW/TC)</t>
  </si>
  <si>
    <t>Dubois (Telework), Maryssa</t>
  </si>
  <si>
    <t>30LS03US07 (TW/TC)</t>
  </si>
  <si>
    <t>Duong, Tu</t>
  </si>
  <si>
    <t>30LS03QC01 (TW/TC)</t>
  </si>
  <si>
    <t>30LS03YL03</t>
  </si>
  <si>
    <t>Eclevia 2 (T&amp;Th), Irene</t>
  </si>
  <si>
    <t>30LS03DF0C</t>
  </si>
  <si>
    <t>30ES032M0Q (ICT)</t>
  </si>
  <si>
    <t>Elhatoum, Sarah</t>
  </si>
  <si>
    <t>30LS035K1N (Restricted)</t>
  </si>
  <si>
    <t>Engelby 2, Katherine</t>
  </si>
  <si>
    <t>30LS03EB04</t>
  </si>
  <si>
    <t>TRO to SARC, 10/09</t>
  </si>
  <si>
    <t>Espino 2, Paulette</t>
  </si>
  <si>
    <t>30LS03JO0D</t>
  </si>
  <si>
    <t>Espinoza, Cristina</t>
  </si>
  <si>
    <t>OPT7</t>
  </si>
  <si>
    <t>Espinoza,1 (1 &amp; 3 T), Esther</t>
  </si>
  <si>
    <t>30LS03XC0C</t>
  </si>
  <si>
    <t>OUT - CTY Time</t>
  </si>
  <si>
    <t>Esqueda,2, Janet</t>
  </si>
  <si>
    <t>30LS03EX07 (ETT)</t>
  </si>
  <si>
    <t>30LS037S04</t>
  </si>
  <si>
    <t>LOA</t>
  </si>
  <si>
    <t>30LS03YL0C</t>
  </si>
  <si>
    <t>30LS03AB07</t>
  </si>
  <si>
    <t>Fierro, Alba</t>
  </si>
  <si>
    <t>30LS03QF07 (TW/TC)</t>
  </si>
  <si>
    <t>Figueroa 2, Marlon</t>
  </si>
  <si>
    <t>30LS03D90E</t>
  </si>
  <si>
    <t>Vacation approved - SK</t>
  </si>
  <si>
    <t>Fleischhacker, (Npt), Sophie</t>
  </si>
  <si>
    <t>30LS037C02</t>
  </si>
  <si>
    <t>Flores, Blanca</t>
  </si>
  <si>
    <t>30ES03310J</t>
  </si>
  <si>
    <t>Flowers 2, Michael</t>
  </si>
  <si>
    <t>30LS03EC07</t>
  </si>
  <si>
    <t>Foerster 2, Julie</t>
  </si>
  <si>
    <t>30LS03JT09</t>
  </si>
  <si>
    <t>30LS035K0X (Restricted)</t>
  </si>
  <si>
    <t>30ES033A06</t>
  </si>
  <si>
    <t>Gallardo, Aracely</t>
  </si>
  <si>
    <t>OCPC1</t>
  </si>
  <si>
    <t>Galvan, Robert</t>
  </si>
  <si>
    <t>30LS03NE0C</t>
  </si>
  <si>
    <t>Ganceda, Antonio</t>
  </si>
  <si>
    <t>30ES032V03</t>
  </si>
  <si>
    <t>30LS035K0J (Restricted)</t>
  </si>
  <si>
    <t>3 CIO's per day - Specialized ET - mc</t>
  </si>
  <si>
    <t>Garcia, 2 (M &amp; Tu), Blanca</t>
  </si>
  <si>
    <t>30LS03EX06</t>
  </si>
  <si>
    <t>Telecommute Day-OB</t>
  </si>
  <si>
    <t>Out at 12pm</t>
  </si>
  <si>
    <t>30LS03AD04</t>
  </si>
  <si>
    <t>30LS03AA05</t>
  </si>
  <si>
    <t>Garcia, Hilda</t>
  </si>
  <si>
    <t>JSS2</t>
  </si>
  <si>
    <t>30LS035K0S (Restricted)</t>
  </si>
  <si>
    <t>2 CIO's per day - Specialized ET (CG)</t>
  </si>
  <si>
    <t>30ES032T0G</t>
  </si>
  <si>
    <t>Garcia, Monica</t>
  </si>
  <si>
    <t>30ES032M05</t>
  </si>
  <si>
    <t>Garcia, Priscilla</t>
  </si>
  <si>
    <t>30ES033109</t>
  </si>
  <si>
    <t>Garcia, Trinadad</t>
  </si>
  <si>
    <t>JXX12</t>
  </si>
  <si>
    <t>In Lab - No REs/No CIOs/No Assignments (VH)</t>
  </si>
  <si>
    <t>30LS038Y08</t>
  </si>
  <si>
    <t>Pre-approved Vac 11/20/2023-11/21/2023 (jbh)</t>
  </si>
  <si>
    <t>Garcia,2, Ruben</t>
  </si>
  <si>
    <t>30ES03310B</t>
  </si>
  <si>
    <t>Garry, Stephanie</t>
  </si>
  <si>
    <t>30LS03NE0D</t>
  </si>
  <si>
    <t>30LS038Y09</t>
  </si>
  <si>
    <t>Gayanilo, Mercy</t>
  </si>
  <si>
    <t>30ES03QD05 (TW/TC)</t>
  </si>
  <si>
    <t>Ghanimi, Sahar</t>
  </si>
  <si>
    <t>30LS035L05</t>
  </si>
  <si>
    <t>Gillis, Monica</t>
  </si>
  <si>
    <t>K1B0</t>
  </si>
  <si>
    <t>Gomez, Jesse</t>
  </si>
  <si>
    <t>30LS03NE0F</t>
  </si>
  <si>
    <t>Gonzalez (Lis Only T/W), Diane</t>
  </si>
  <si>
    <t>30LS03UZ04 (Restricted) (TW/TC)</t>
  </si>
  <si>
    <t>Gonzalez (Telework), Stephanie</t>
  </si>
  <si>
    <t>30LS03UW06 (TW/TC)</t>
  </si>
  <si>
    <t>Gonzalez, (Nptu), Esther</t>
  </si>
  <si>
    <t>30LS036209</t>
  </si>
  <si>
    <t>Gonzalez, Michelle</t>
  </si>
  <si>
    <t>30LS035K1F (Restricted)</t>
  </si>
  <si>
    <t>Gonzalez, Veronica</t>
  </si>
  <si>
    <t>30LS03VQ00</t>
  </si>
  <si>
    <t>30LS03KO03</t>
  </si>
  <si>
    <t>NO CIO - MC</t>
  </si>
  <si>
    <t>30LS033N03</t>
  </si>
  <si>
    <t>Greenberg, 2 (T &amp; Th), Rachael</t>
  </si>
  <si>
    <t>30LS03DF03</t>
  </si>
  <si>
    <t>Guerrero, Yazmin</t>
  </si>
  <si>
    <t>30LS03VQ07</t>
  </si>
  <si>
    <t>Approved 8/17/23 (VG)</t>
  </si>
  <si>
    <t>Guevara, (Npw), Connie</t>
  </si>
  <si>
    <t>30LS03S103</t>
  </si>
  <si>
    <t>30ES032X03</t>
  </si>
  <si>
    <t>Gurley, Laurel</t>
  </si>
  <si>
    <t>30LS03TK01 (TW/TC)</t>
  </si>
  <si>
    <t>Gutierrez, Sandy</t>
  </si>
  <si>
    <t>30LS035K1B (Restricted)</t>
  </si>
  <si>
    <t>Guzman, (Pw), Arlene</t>
  </si>
  <si>
    <t>30LS034A0B</t>
  </si>
  <si>
    <t>Hale, Francelli</t>
  </si>
  <si>
    <t>30LS03D80F</t>
  </si>
  <si>
    <t>30ES032X05</t>
  </si>
  <si>
    <t>LOA til 12/11/2023-GP</t>
  </si>
  <si>
    <t>30LS03D80B (TW/TC)</t>
  </si>
  <si>
    <t>Telecommuting No Assignments Task Force</t>
  </si>
  <si>
    <t>Harth (Lis Only T/W), Luz</t>
  </si>
  <si>
    <t>30LS03UZ01 (TW/TC)</t>
  </si>
  <si>
    <t>Out at 12 (lunch 12-1230) -LS (Ptl wc-pding)</t>
  </si>
  <si>
    <t>Hartwell-Santiago, Fabian</t>
  </si>
  <si>
    <t>30LS03QI00</t>
  </si>
  <si>
    <t>Hatch, 2 (T &amp; Th), Emalee</t>
  </si>
  <si>
    <t>30LS03EX04</t>
  </si>
  <si>
    <t>Help, Help</t>
  </si>
  <si>
    <t>J3AX</t>
  </si>
  <si>
    <t>Help, Test</t>
  </si>
  <si>
    <t>JXXXX</t>
  </si>
  <si>
    <t>Hernandez (M &amp; Tu), Oscar W</t>
  </si>
  <si>
    <t>30LS03JY0D</t>
  </si>
  <si>
    <t>Hernandez, 1 (1&amp;3 Th), Elizabeth</t>
  </si>
  <si>
    <t>30LS03MI01</t>
  </si>
  <si>
    <t>Hernandez, 2 (W &amp; Th), Jazmin</t>
  </si>
  <si>
    <t>30LS03JO07</t>
  </si>
  <si>
    <t>VAC 11/9/23-11/20/23 JT</t>
  </si>
  <si>
    <t>30ES033C04</t>
  </si>
  <si>
    <t>Hernandez, Jorge</t>
  </si>
  <si>
    <t>30LS036609</t>
  </si>
  <si>
    <t>Hernandez, Melissa</t>
  </si>
  <si>
    <t>30ES03310D</t>
  </si>
  <si>
    <t>30LS038Y01</t>
  </si>
  <si>
    <t>Resigned effective 11/03/2023</t>
  </si>
  <si>
    <t>30ES032X0H</t>
  </si>
  <si>
    <t>OUT early-GP</t>
  </si>
  <si>
    <t>Hernandez, Victoria</t>
  </si>
  <si>
    <t>30LS036005</t>
  </si>
  <si>
    <t>Hernandez,1 (1&amp;3 Th), Yessica</t>
  </si>
  <si>
    <t>30LS03A903</t>
  </si>
  <si>
    <t>Herrera, 2 (Th &amp; F), Rebekah</t>
  </si>
  <si>
    <t>30LS03EB02</t>
  </si>
  <si>
    <t>Herrera, Sofia</t>
  </si>
  <si>
    <t>30LS03K50E</t>
  </si>
  <si>
    <t>Hewey, Susan</t>
  </si>
  <si>
    <t>30ES03QD06 (Restricted)</t>
  </si>
  <si>
    <t>Hill, Elvia</t>
  </si>
  <si>
    <t>K5A0</t>
  </si>
  <si>
    <t>Hines-Brownlee, Taneeka</t>
  </si>
  <si>
    <t>30LS037C0A</t>
  </si>
  <si>
    <t>30LS03AV05</t>
  </si>
  <si>
    <t>Telecommuting</t>
  </si>
  <si>
    <t>Hoang (Lis Only T/W), Hanh</t>
  </si>
  <si>
    <t>30LS03UZ02 (Restricted) (TW/TC)</t>
  </si>
  <si>
    <t>Holding Chen, 2 (M &amp; Tu), Lucy</t>
  </si>
  <si>
    <t>30LS03EB01</t>
  </si>
  <si>
    <t>NO APPS, TRO TO SARC 06/15</t>
  </si>
  <si>
    <t>House, 1 (2&amp;4 T), Traneice</t>
  </si>
  <si>
    <t>30LS03A604</t>
  </si>
  <si>
    <t>Huang (Lis Only T/W), May</t>
  </si>
  <si>
    <t>30LS03UZ07 (Restricted) (TW/TC)</t>
  </si>
  <si>
    <t>Huynh, 2 (T &amp; Th), Laurin</t>
  </si>
  <si>
    <t>30LS03JT05 (CONF)</t>
  </si>
  <si>
    <t>vacation 11/20-11/21 linked to Holiday EV</t>
  </si>
  <si>
    <t>Huynh, Thuy</t>
  </si>
  <si>
    <t>30LS03K50D</t>
  </si>
  <si>
    <t>Huynh,2, Larry</t>
  </si>
  <si>
    <t>30LS03EB05 (TW/TC)</t>
  </si>
  <si>
    <t>Ibarra, 1 (2&amp;4 Th), Izanagui</t>
  </si>
  <si>
    <t>30LS03WU03</t>
  </si>
  <si>
    <t>30LS033N09</t>
  </si>
  <si>
    <t>Infante (Telework), Sirenia</t>
  </si>
  <si>
    <t>30LS03UW08 (TW/TC)</t>
  </si>
  <si>
    <t>Inoke, Salome</t>
  </si>
  <si>
    <t>30LS035K1O (Restricted)</t>
  </si>
  <si>
    <t>Inzunza,2, Wendy</t>
  </si>
  <si>
    <t>30ES033106</t>
  </si>
  <si>
    <t>Iwasaki, Lori</t>
  </si>
  <si>
    <t>OCPC3</t>
  </si>
  <si>
    <t>Jamaica (Npw), Carol</t>
  </si>
  <si>
    <t>30LS036603</t>
  </si>
  <si>
    <t>30ES032X0G</t>
  </si>
  <si>
    <t>30LS03V803</t>
  </si>
  <si>
    <t>TCD Dual IIT (CF to MC) training - TR</t>
  </si>
  <si>
    <t>IN - Training</t>
  </si>
  <si>
    <t>Jimenez, (M &amp; Tu), Sierra</t>
  </si>
  <si>
    <t>30LS03A805</t>
  </si>
  <si>
    <t>30LS03VQ09</t>
  </si>
  <si>
    <t>Jimenez, Sonia</t>
  </si>
  <si>
    <t>30LS03VQ05</t>
  </si>
  <si>
    <t>Jimenez,2, Evelyn</t>
  </si>
  <si>
    <t>30LS03DA05</t>
  </si>
  <si>
    <t>TRO to SARC - SG</t>
  </si>
  <si>
    <t>Keyes 2, Erika</t>
  </si>
  <si>
    <t>30LS03D80C</t>
  </si>
  <si>
    <t>11/20-11/21 BRV - SG</t>
  </si>
  <si>
    <t>Kieczykowski, (Ptu), Amanda</t>
  </si>
  <si>
    <t>30ES032I09</t>
  </si>
  <si>
    <t>Kieczykowski, Scott</t>
  </si>
  <si>
    <t>30LS037C07</t>
  </si>
  <si>
    <t>Kim 2 (T &amp; Th), Jaeyun</t>
  </si>
  <si>
    <t>30LS03EC05</t>
  </si>
  <si>
    <t>Kim, Yong</t>
  </si>
  <si>
    <t>30ES03QD03 (TW/TC)</t>
  </si>
  <si>
    <t>30LS035K0D (Restricted)</t>
  </si>
  <si>
    <t>Specialized ET-2 CIOS per day-GP</t>
  </si>
  <si>
    <t>Lara (Telework), Jose</t>
  </si>
  <si>
    <t>30LS03UY00 (TW/TC)</t>
  </si>
  <si>
    <t>Lara, Aniam</t>
  </si>
  <si>
    <t>K2F0</t>
  </si>
  <si>
    <t>30ES033C03</t>
  </si>
  <si>
    <t>Lazarescu, Paul</t>
  </si>
  <si>
    <t>30LS03K505</t>
  </si>
  <si>
    <t>30LS037S05</t>
  </si>
  <si>
    <t>Le, Trisha</t>
  </si>
  <si>
    <t>30LS03NE02</t>
  </si>
  <si>
    <t>30ES033A07 (CONF)</t>
  </si>
  <si>
    <t>Lea, 1 (1&amp;3 T), Brittney</t>
  </si>
  <si>
    <t>30LS03MI04</t>
  </si>
  <si>
    <t>Mail-in Unit, BCW only, No Walk-in, No CIO-XC</t>
  </si>
  <si>
    <t>Lee,2, Banafsheh</t>
  </si>
  <si>
    <t>30LS03JI05</t>
  </si>
  <si>
    <t>Lemus, Maria</t>
  </si>
  <si>
    <t>30AS0RCM0I</t>
  </si>
  <si>
    <t>Li,2 (M &amp; Tu), Jay</t>
  </si>
  <si>
    <t>30LS03EC0A</t>
  </si>
  <si>
    <t>Telecommuting / Offboard</t>
  </si>
  <si>
    <t>Liang, Rachel</t>
  </si>
  <si>
    <t>30LS03VQ04</t>
  </si>
  <si>
    <t>Limas,2, Brian</t>
  </si>
  <si>
    <t>30LS03AE02</t>
  </si>
  <si>
    <t>CF Project ETT - No assignments</t>
  </si>
  <si>
    <t>30LS035K0K (Restricted)</t>
  </si>
  <si>
    <t>No CIOs</t>
  </si>
  <si>
    <t>30LS03G406</t>
  </si>
  <si>
    <t>30ES032V0A</t>
  </si>
  <si>
    <t>Longbrake (Lis Only T/W), Jacqueline</t>
  </si>
  <si>
    <t>30LS03UZ06 (Restricted) (TW/TC)</t>
  </si>
  <si>
    <t>Lopez, Cindy</t>
  </si>
  <si>
    <t>30LS036206</t>
  </si>
  <si>
    <t>Lopez, Crystal</t>
  </si>
  <si>
    <t>30LS03V802</t>
  </si>
  <si>
    <t>Lopez, Evelyn</t>
  </si>
  <si>
    <t>30LS03K506</t>
  </si>
  <si>
    <t>Lopez, Linda</t>
  </si>
  <si>
    <t>K2A0</t>
  </si>
  <si>
    <t>Lopez, Vicente</t>
  </si>
  <si>
    <t>30LS03QC06 (TW/TC)</t>
  </si>
  <si>
    <t>Lu, Karen</t>
  </si>
  <si>
    <t>30LS03TK03 (TW/TC)</t>
  </si>
  <si>
    <t>Out at 915am - FHS</t>
  </si>
  <si>
    <t>Luna, Juliana</t>
  </si>
  <si>
    <t>30LS03NE04</t>
  </si>
  <si>
    <t>Luna,2, Efrain</t>
  </si>
  <si>
    <t>30ES032W0C</t>
  </si>
  <si>
    <t>Hold for stats---No CIOs</t>
  </si>
  <si>
    <t>Lupu (T &amp; Th), Mihaela</t>
  </si>
  <si>
    <t>30LS03VQ03 (CONF)</t>
  </si>
  <si>
    <t>Approved 08/17/23 (VG)</t>
  </si>
  <si>
    <t>Macias,2 (M &amp; T), Vanessa</t>
  </si>
  <si>
    <t>30LS03JT04 (TW/TC)</t>
  </si>
  <si>
    <t>Telecommute-THB</t>
  </si>
  <si>
    <t>30LS035K0L (Restricted)</t>
  </si>
  <si>
    <t>Magana, Alyssa</t>
  </si>
  <si>
    <t>30LS036604</t>
  </si>
  <si>
    <t>Magcasi, Martha</t>
  </si>
  <si>
    <t>30ES0202CX</t>
  </si>
  <si>
    <t>Major, Benjamin</t>
  </si>
  <si>
    <t>30LS03NE03</t>
  </si>
  <si>
    <t>Maling, 2 (M &amp; Tu), Joseph</t>
  </si>
  <si>
    <t>30LS03JO04 (TW/TC)</t>
  </si>
  <si>
    <t>30LS03AV02</t>
  </si>
  <si>
    <t>Marquina,1, Daniel</t>
  </si>
  <si>
    <t>JGCG</t>
  </si>
  <si>
    <t>Martinez, Hannha</t>
  </si>
  <si>
    <t>30LS03K50F</t>
  </si>
  <si>
    <t>Out @ 2:00 HT</t>
  </si>
  <si>
    <t>Martinez, Mireya</t>
  </si>
  <si>
    <t>30LS03K50G</t>
  </si>
  <si>
    <t>30LS03AD05</t>
  </si>
  <si>
    <t>Out at 3:15-LO</t>
  </si>
  <si>
    <t>30LS037S06</t>
  </si>
  <si>
    <t>30ES033A0F</t>
  </si>
  <si>
    <t>30ES032W03</t>
  </si>
  <si>
    <t>30LS03YL08</t>
  </si>
  <si>
    <t>Resigned 11/10 eg</t>
  </si>
  <si>
    <t>Mccormack,2, Eva</t>
  </si>
  <si>
    <t>30ES032X08</t>
  </si>
  <si>
    <t>In Offboard. No CIOs</t>
  </si>
  <si>
    <t>Mcmeekin, Phillip</t>
  </si>
  <si>
    <t>J9BF</t>
  </si>
  <si>
    <t>30LS03AV01</t>
  </si>
  <si>
    <t>Medina (Telework), Jasmine</t>
  </si>
  <si>
    <t>30LS03UW07 (TW/TC)</t>
  </si>
  <si>
    <t>Medina (Telework), Victoria</t>
  </si>
  <si>
    <t>30LS03UW00 (TW/TC)</t>
  </si>
  <si>
    <t>VAC 11/20-11/22 VA</t>
  </si>
  <si>
    <t>Medina, (Pw), Mauro</t>
  </si>
  <si>
    <t>30LS034A02</t>
  </si>
  <si>
    <t>Out- Pre-Approved BD</t>
  </si>
  <si>
    <t>Mendez 2, Maria</t>
  </si>
  <si>
    <t>30LS03D90B</t>
  </si>
  <si>
    <t>Out - AQ</t>
  </si>
  <si>
    <t>Mendoza (M &amp; Tu), Minerva</t>
  </si>
  <si>
    <t>30LS03DA00 (TW/TC)</t>
  </si>
  <si>
    <t>Telecommuting SK</t>
  </si>
  <si>
    <t>Meza 2, Danielle</t>
  </si>
  <si>
    <t>30LS03DB03</t>
  </si>
  <si>
    <t>TRO - no longer at ARC</t>
  </si>
  <si>
    <t>30LS03KO04</t>
  </si>
  <si>
    <t>30LS03G407</t>
  </si>
  <si>
    <t>Miramontes, Angela</t>
  </si>
  <si>
    <t>30LS02L50Y</t>
  </si>
  <si>
    <t>Mitchell, Lori</t>
  </si>
  <si>
    <t>30LS034A07</t>
  </si>
  <si>
    <t>Out @ 11:00 am</t>
  </si>
  <si>
    <t>Monjaras, 2 (T &amp; W), Karen</t>
  </si>
  <si>
    <t>30LS03JP09</t>
  </si>
  <si>
    <t>no cios, no apps TC T/W</t>
  </si>
  <si>
    <t>Montaghami *ltc Only*, Alma</t>
  </si>
  <si>
    <t>30LS03QC0B (TW/TC)</t>
  </si>
  <si>
    <t>30LS035K05 (Restricted)</t>
  </si>
  <si>
    <t>Morales, David</t>
  </si>
  <si>
    <t>30LS03JO02</t>
  </si>
  <si>
    <t>HT</t>
  </si>
  <si>
    <t>Morales,2, Iliana</t>
  </si>
  <si>
    <t>30ES03310E</t>
  </si>
  <si>
    <t>PROMO No assignments</t>
  </si>
  <si>
    <t>Moreno, Jasmine</t>
  </si>
  <si>
    <t>30LS035K1L (Restricted)</t>
  </si>
  <si>
    <t>Muniz (Telework), Katherine</t>
  </si>
  <si>
    <t>30LS03UY04 (TW/TC)</t>
  </si>
  <si>
    <t>VAC 11/16 - 11/22</t>
  </si>
  <si>
    <t>Munjpara 2, Sharan</t>
  </si>
  <si>
    <t>30LS03JI06</t>
  </si>
  <si>
    <t>Munoz, 2 (W &amp; Th), Jocelyne</t>
  </si>
  <si>
    <t>30LS03DA04</t>
  </si>
  <si>
    <t>30ES032M08</t>
  </si>
  <si>
    <t>30LS035K0B (Restricted)</t>
  </si>
  <si>
    <t>30LS03YL09</t>
  </si>
  <si>
    <t>Navarro, Luis</t>
  </si>
  <si>
    <t>30LS03UJ0B</t>
  </si>
  <si>
    <t>30LS038Y0L</t>
  </si>
  <si>
    <t>Ngo (Telework), Roy</t>
  </si>
  <si>
    <t>30LS03US01 (TW/TC)</t>
  </si>
  <si>
    <t>Nguyen, 2 (M &amp; Tu), Trung</t>
  </si>
  <si>
    <t>30LS03DB07 (TW/TC)</t>
  </si>
  <si>
    <t>30ES032M0C</t>
  </si>
  <si>
    <t>Nguyen, Christine</t>
  </si>
  <si>
    <t>30ES03UP04 (TW/TC)</t>
  </si>
  <si>
    <t>30LS035K0E (Restricted)</t>
  </si>
  <si>
    <t>Nguyen, Hillary</t>
  </si>
  <si>
    <t>30LS035K1C (Restricted)</t>
  </si>
  <si>
    <t>30LS03V807</t>
  </si>
  <si>
    <t>30LS035K0F (Restricted)</t>
  </si>
  <si>
    <t>Nguyen, Phuong-Chi</t>
  </si>
  <si>
    <t>30ES032W06</t>
  </si>
  <si>
    <t>30ES032W0I</t>
  </si>
  <si>
    <t>Nguyen, Tina</t>
  </si>
  <si>
    <t>30LS03NE09</t>
  </si>
  <si>
    <t>Nguyen, Van</t>
  </si>
  <si>
    <t>30LS036608</t>
  </si>
  <si>
    <t>Noble 2, Melissa</t>
  </si>
  <si>
    <t>30LS0QJD07</t>
  </si>
  <si>
    <t>TRO to OCPC</t>
  </si>
  <si>
    <t>30ES03310C</t>
  </si>
  <si>
    <t>30LS03KO0C (ICT)</t>
  </si>
  <si>
    <t>out-mc</t>
  </si>
  <si>
    <t>30LS03YL04</t>
  </si>
  <si>
    <t>Out all day JT</t>
  </si>
  <si>
    <t>Nungaray, Mary</t>
  </si>
  <si>
    <t>30LS034A0A</t>
  </si>
  <si>
    <t>30LS03AA04</t>
  </si>
  <si>
    <t>Obregon 2, Jennifer</t>
  </si>
  <si>
    <t>30LS03JO0C</t>
  </si>
  <si>
    <t>30LS035K0M (Restricted)</t>
  </si>
  <si>
    <t>30LS033N07</t>
  </si>
  <si>
    <t>30LS03AC0A</t>
  </si>
  <si>
    <t>Oraby, Donna</t>
  </si>
  <si>
    <t>30LS03QC09 (TW/TC)</t>
  </si>
  <si>
    <t>Ornelas, Laura</t>
  </si>
  <si>
    <t>30LS03XU0A</t>
  </si>
  <si>
    <t>Orozco,2, Everett</t>
  </si>
  <si>
    <t>30LS03DF06</t>
  </si>
  <si>
    <t>30LS033N05</t>
  </si>
  <si>
    <t>Pacheco, Manuel</t>
  </si>
  <si>
    <t>30LS03VQ06</t>
  </si>
  <si>
    <t>Approved 08/17/23 - VG</t>
  </si>
  <si>
    <t>Padilla 2, Julio</t>
  </si>
  <si>
    <t>30LS03DB04</t>
  </si>
  <si>
    <t>30LS03KO06</t>
  </si>
  <si>
    <t>NO CIO-MC</t>
  </si>
  <si>
    <t>Pai, Joshua</t>
  </si>
  <si>
    <t>30LS03QF04 (TW/TC)</t>
  </si>
  <si>
    <t>Palacio, Beatriz</t>
  </si>
  <si>
    <t>30LS03AV03</t>
  </si>
  <si>
    <t>Palacios 2, Daisy</t>
  </si>
  <si>
    <t>30LS03D90D</t>
  </si>
  <si>
    <t>Off Board No CIOs and no Walk Ins.</t>
  </si>
  <si>
    <t>30LS03AV04</t>
  </si>
  <si>
    <t>Palmer, Vanessa</t>
  </si>
  <si>
    <t>OCPC2</t>
  </si>
  <si>
    <t>Papana, Monica</t>
  </si>
  <si>
    <t>JSS1</t>
  </si>
  <si>
    <t>30LS03AE07</t>
  </si>
  <si>
    <t>Patini,2, Michael</t>
  </si>
  <si>
    <t>30ES033108</t>
  </si>
  <si>
    <t>Pavone, (Pt), Jeffrey</t>
  </si>
  <si>
    <t>30LS034A09</t>
  </si>
  <si>
    <t>Pedroza, Richard</t>
  </si>
  <si>
    <t>30LS03K50B</t>
  </si>
  <si>
    <t>30ES032W0G</t>
  </si>
  <si>
    <t>Pena (Medina), Blanca</t>
  </si>
  <si>
    <t>30LS03A702</t>
  </si>
  <si>
    <t>Perez 2, Elizabeth</t>
  </si>
  <si>
    <t>30LS03JO0B</t>
  </si>
  <si>
    <t>Out</t>
  </si>
  <si>
    <t>30ES032T0C</t>
  </si>
  <si>
    <t>30LS03AE06</t>
  </si>
  <si>
    <t>Peterson, John</t>
  </si>
  <si>
    <t>30LS0CMD00</t>
  </si>
  <si>
    <t>Pfluger 2, Samantha</t>
  </si>
  <si>
    <t>30LS03DA0E</t>
  </si>
  <si>
    <t>Pham (Telework), Bao-Chau</t>
  </si>
  <si>
    <t>30LS03UW01 (TW/TC)</t>
  </si>
  <si>
    <t>Pham, Dien</t>
  </si>
  <si>
    <t>JSS4</t>
  </si>
  <si>
    <t>Pham, Giang</t>
  </si>
  <si>
    <t>30LS036102</t>
  </si>
  <si>
    <t>Pham, Son</t>
  </si>
  <si>
    <t>30LS03QC05 (TW/TC)</t>
  </si>
  <si>
    <t>30ES032L05</t>
  </si>
  <si>
    <t>Jury Duty 11/15 -11/22 EC</t>
  </si>
  <si>
    <t>Plascencia, Maxi</t>
  </si>
  <si>
    <t>K1D0</t>
  </si>
  <si>
    <t>Pola (Telework), Susana</t>
  </si>
  <si>
    <t>30LS03UY07 (TW/TC)</t>
  </si>
  <si>
    <t>Teleworking</t>
  </si>
  <si>
    <t>Popoviciu, 2 (W &amp; Th ), Tabita</t>
  </si>
  <si>
    <t>30LS03JP08</t>
  </si>
  <si>
    <t>Price, (Pt), Marie</t>
  </si>
  <si>
    <t>30LS034A05</t>
  </si>
  <si>
    <t>Price, Marie</t>
  </si>
  <si>
    <t>HELP</t>
  </si>
  <si>
    <t>Puente, Damaris</t>
  </si>
  <si>
    <t>30LS03TK02 (TW/TC)</t>
  </si>
  <si>
    <t>Quist, Alice</t>
  </si>
  <si>
    <t>30LS03610A</t>
  </si>
  <si>
    <t>30ES032M02</t>
  </si>
  <si>
    <t>Ramirez, 2 (M &amp; Tu), Harry (Jazmin)</t>
  </si>
  <si>
    <t>30LS03JY0A (TW/TC)</t>
  </si>
  <si>
    <t>Telecommute SR</t>
  </si>
  <si>
    <t>30LS035K0Y (Restricted)</t>
  </si>
  <si>
    <t>Ramos, Adriana</t>
  </si>
  <si>
    <t>30LS03A603</t>
  </si>
  <si>
    <t>Ramos, Sophia</t>
  </si>
  <si>
    <t>30LS036004</t>
  </si>
  <si>
    <t>Rangel, Maria</t>
  </si>
  <si>
    <t>J4F0</t>
  </si>
  <si>
    <t>Rangel, Tanisha</t>
  </si>
  <si>
    <t>30LS03QF01 (TW/TC)</t>
  </si>
  <si>
    <t>Rapien, (Npw), Evan</t>
  </si>
  <si>
    <t>30LS037C06</t>
  </si>
  <si>
    <t>Razo, Beatriz</t>
  </si>
  <si>
    <t>30LS03QF03 (TW/TC)</t>
  </si>
  <si>
    <t>Razo,2 (M,Tu), Wendy</t>
  </si>
  <si>
    <t>30LS03KO07</t>
  </si>
  <si>
    <t>No CIO-MC</t>
  </si>
  <si>
    <t>30LS03YL02</t>
  </si>
  <si>
    <t>Remigio 2 (W &amp; Th), Jennifer</t>
  </si>
  <si>
    <t>30LS03EC06</t>
  </si>
  <si>
    <t>30LS035K0Z (Restricted)</t>
  </si>
  <si>
    <t>Specialized - 2 CIOs- CL</t>
  </si>
  <si>
    <t>Reyes, Nicolas</t>
  </si>
  <si>
    <t>30LS03MQ06</t>
  </si>
  <si>
    <t>Reynoso 2, Ashley</t>
  </si>
  <si>
    <t>30LS03DB06</t>
  </si>
  <si>
    <t>Rivas, Kimberly</t>
  </si>
  <si>
    <t>30LS03QF09 (TW/TC)</t>
  </si>
  <si>
    <t>30LS035K0N (Restricted)</t>
  </si>
  <si>
    <t>Rodriguez (Lis Only T/W), Krista</t>
  </si>
  <si>
    <t>30LS03UZ03 (Restricted) (TW/TC)</t>
  </si>
  <si>
    <t>Rodriguez 1, Marissa</t>
  </si>
  <si>
    <t>30LS03WH05</t>
  </si>
  <si>
    <t>CF/CFC/GR</t>
  </si>
  <si>
    <t>TRO TO SARC-NO ASSIGNMENTS-LO</t>
  </si>
  <si>
    <t>Rodriguez 2 (T &amp; Th), Angelica</t>
  </si>
  <si>
    <t>30LS03JT06 (ICT)</t>
  </si>
  <si>
    <t>Rodriguez, 2 (T &amp; Th), Lorraine</t>
  </si>
  <si>
    <t>30LS03D80E (CONF)</t>
  </si>
  <si>
    <t>Rodriguez, Juan</t>
  </si>
  <si>
    <t>30LS035K1P (Restricted)</t>
  </si>
  <si>
    <t>30ES033A03</t>
  </si>
  <si>
    <t>Rojas, (Pw), Maria</t>
  </si>
  <si>
    <t>30LS03S102</t>
  </si>
  <si>
    <t>Rojas, Norma</t>
  </si>
  <si>
    <t>K4A0</t>
  </si>
  <si>
    <t>30LS035K06 (Restricted)</t>
  </si>
  <si>
    <t>30LS03AD03</t>
  </si>
  <si>
    <t>OUT sick MR</t>
  </si>
  <si>
    <t>Romano 2, Carmen</t>
  </si>
  <si>
    <t>30LS03EJ02</t>
  </si>
  <si>
    <t>Romero, Diana</t>
  </si>
  <si>
    <t>K2C0</t>
  </si>
  <si>
    <t>Romero, Janessa</t>
  </si>
  <si>
    <t>30LS036606</t>
  </si>
  <si>
    <t>Rosales, Sonia</t>
  </si>
  <si>
    <t>30LS03660F</t>
  </si>
  <si>
    <t>Out (MR)</t>
  </si>
  <si>
    <t>Rosas,2, Vilma</t>
  </si>
  <si>
    <t>30ES03310F</t>
  </si>
  <si>
    <t>OUT. TBG</t>
  </si>
  <si>
    <t>Rosecrans, Travis</t>
  </si>
  <si>
    <t>30LS036101</t>
  </si>
  <si>
    <t>Rosiles, Michael</t>
  </si>
  <si>
    <t>30ES03310A</t>
  </si>
  <si>
    <t>Rueda,(Npt), Santiago</t>
  </si>
  <si>
    <t>30LS037S02</t>
  </si>
  <si>
    <t>Ruiz, Victoria</t>
  </si>
  <si>
    <t>30LS03QF06 (TW/TC)</t>
  </si>
  <si>
    <t>Ruvalcaba, Adriana</t>
  </si>
  <si>
    <t>30LS03A601</t>
  </si>
  <si>
    <t>xc</t>
  </si>
  <si>
    <t>Ruvalcaba, Patricia</t>
  </si>
  <si>
    <t>30LS03K502</t>
  </si>
  <si>
    <t>Out (VH)</t>
  </si>
  <si>
    <t>Sagarnaga,2 (M &amp; T), Verenice</t>
  </si>
  <si>
    <t>30LS03JT03</t>
  </si>
  <si>
    <t>OUT/AZ</t>
  </si>
  <si>
    <t>30LS035K0A (Restricted)</t>
  </si>
  <si>
    <t>Salas, Joshua</t>
  </si>
  <si>
    <t>30LS035K1I (Restricted)</t>
  </si>
  <si>
    <t>Salinas,2, Oscar</t>
  </si>
  <si>
    <t>30ES03310H</t>
  </si>
  <si>
    <t>Sallee, Leticia</t>
  </si>
  <si>
    <t>30LS03NE0B</t>
  </si>
  <si>
    <t>Sanchez, (Pw), Elena</t>
  </si>
  <si>
    <t>30LS034A03</t>
  </si>
  <si>
    <t>30LS03G40A</t>
  </si>
  <si>
    <t>Sanchez, Elizabeth</t>
  </si>
  <si>
    <t>30LS03D80D</t>
  </si>
  <si>
    <t>30LS035K0O (Restricted)</t>
  </si>
  <si>
    <t>30LS03AB01</t>
  </si>
  <si>
    <t>30ES033C07</t>
  </si>
  <si>
    <t>Santos,2, Daysy</t>
  </si>
  <si>
    <t>30ES033107</t>
  </si>
  <si>
    <t>30ES032M09 (TW/TC)</t>
  </si>
  <si>
    <t>Savala, 2 (M &amp; Tu), Diana</t>
  </si>
  <si>
    <t>30LS03JI08 (TW/TC)</t>
  </si>
  <si>
    <t>Telecommuting AK</t>
  </si>
  <si>
    <t>Schenach, Tiffany</t>
  </si>
  <si>
    <t>30LS03TL01 (TW/TC)</t>
  </si>
  <si>
    <t>Sekella (Mon), Luz</t>
  </si>
  <si>
    <t>30LS03660E</t>
  </si>
  <si>
    <t>Semaia,2, Maselina</t>
  </si>
  <si>
    <t>30ES033C0C</t>
  </si>
  <si>
    <t>30LS035K07 (Restricted)</t>
  </si>
  <si>
    <t>Serrano, Jason</t>
  </si>
  <si>
    <t>30LS03QF05 (TW/TC)</t>
  </si>
  <si>
    <t>Sherman, Ashley</t>
  </si>
  <si>
    <t>30LS036003</t>
  </si>
  <si>
    <t>Shim (Telework), Kyuyong</t>
  </si>
  <si>
    <t>30LS03UW02 (TW/TC)</t>
  </si>
  <si>
    <t>Sicairos, 2 (T &amp; Th), Florentina</t>
  </si>
  <si>
    <t>30LS03D80G</t>
  </si>
  <si>
    <t>out, pre approved ER</t>
  </si>
  <si>
    <t>30LS035K0V (Restricted)</t>
  </si>
  <si>
    <t>Simental, Laura</t>
  </si>
  <si>
    <t>30LS03QF08 (TW/TC)</t>
  </si>
  <si>
    <t>No longer with SSA eff 08/25/2023 JR</t>
  </si>
  <si>
    <t>Sin 2, Cindy (T &amp; Th)</t>
  </si>
  <si>
    <t>30LS03JP04</t>
  </si>
  <si>
    <t>Smith (Telework), Deveeda</t>
  </si>
  <si>
    <t>30LS03UW05 (TW/TC)</t>
  </si>
  <si>
    <t>30LS033N0H</t>
  </si>
  <si>
    <t>Solis 2, Joel</t>
  </si>
  <si>
    <t>30LS03JO0E (CONF)</t>
  </si>
  <si>
    <t>Soria,1, Maricela</t>
  </si>
  <si>
    <t>30LS03A906 (250%)</t>
  </si>
  <si>
    <t>30LS03AE03</t>
  </si>
  <si>
    <t>30LS035K10 (Restricted)</t>
  </si>
  <si>
    <t>Sotelo,1, Sonia</t>
  </si>
  <si>
    <t>30LS03A707</t>
  </si>
  <si>
    <t>30LS035K0P (Restricted)</t>
  </si>
  <si>
    <t>30LS03AE0C</t>
  </si>
  <si>
    <t>In special project no CIOs MR</t>
  </si>
  <si>
    <t>30LS035K0Q (Restricted)</t>
  </si>
  <si>
    <t>30LS03VQ02</t>
  </si>
  <si>
    <t>Stuart, Marie</t>
  </si>
  <si>
    <t>30LS03K50A</t>
  </si>
  <si>
    <t>30ES032W02</t>
  </si>
  <si>
    <t>30LS03V804</t>
  </si>
  <si>
    <t>Tam, Tiffany</t>
  </si>
  <si>
    <t>OCPC4</t>
  </si>
  <si>
    <t>Tamayo, 1 (1&amp;3rd W), Melisa</t>
  </si>
  <si>
    <t>30LS03A905</t>
  </si>
  <si>
    <t>CST Window-LO</t>
  </si>
  <si>
    <t>Taran, Deanna</t>
  </si>
  <si>
    <t>30LS035K1M (Restricted)</t>
  </si>
  <si>
    <t>30LS03KO0E</t>
  </si>
  <si>
    <t>Pre-approved Vac 11/20/2023-11/22/2023 (jbh)</t>
  </si>
  <si>
    <t>30ES033007</t>
  </si>
  <si>
    <t>Torres 2 (Th&amp;F), Andrew</t>
  </si>
  <si>
    <t>30LS03JY02 (TW/TC)</t>
  </si>
  <si>
    <t>Torres, Hugo</t>
  </si>
  <si>
    <t>30LS03NE05</t>
  </si>
  <si>
    <t>Torres, Nancy</t>
  </si>
  <si>
    <t>30LS035K1J (Restricted)</t>
  </si>
  <si>
    <t>Toulouse, Tina</t>
  </si>
  <si>
    <t>30LS03TL04 (TW/TC)</t>
  </si>
  <si>
    <t>Tovar, (Npt), Sonya</t>
  </si>
  <si>
    <t>30LS034A06</t>
  </si>
  <si>
    <t>Tran, Brian</t>
  </si>
  <si>
    <t>30LS03EB06</t>
  </si>
  <si>
    <t>Tran, Dinh</t>
  </si>
  <si>
    <t>30LS03TL03 (TW/TC)</t>
  </si>
  <si>
    <t>Tran, Kevin</t>
  </si>
  <si>
    <t>30ES03QD01 (TW/TC)</t>
  </si>
  <si>
    <t>Tran, Quang</t>
  </si>
  <si>
    <t>30LS035K1G (Restricted)</t>
  </si>
  <si>
    <t>30LS03KO0D</t>
  </si>
  <si>
    <t>Trueluck, Kettisha</t>
  </si>
  <si>
    <t>30LS03QC07 (TW/TC)</t>
  </si>
  <si>
    <t>Tucker, Jaime</t>
  </si>
  <si>
    <t>30LS037C00</t>
  </si>
  <si>
    <t>30LS035K0R (Restricted)</t>
  </si>
  <si>
    <t>Valenzuela, Monique</t>
  </si>
  <si>
    <t>30LS03TL02 (TW/TC)</t>
  </si>
  <si>
    <t>Out at 1230pm - FHS</t>
  </si>
  <si>
    <t>Valle, Elsa</t>
  </si>
  <si>
    <t>30LS035Z08</t>
  </si>
  <si>
    <t>Velazquez 2, Monica</t>
  </si>
  <si>
    <t>30LS03EX09</t>
  </si>
  <si>
    <t>Velazquez, Sandra</t>
  </si>
  <si>
    <t>30LS036304</t>
  </si>
  <si>
    <t>Venegas (Lis Only T/W), Maria</t>
  </si>
  <si>
    <t>30LS03UZ08 (Restricted) (TW/TC)</t>
  </si>
  <si>
    <t>Vides *ltc Only*, Cristina</t>
  </si>
  <si>
    <t>30LS03QC0E (TW/TC)</t>
  </si>
  <si>
    <t>Out via phone call JR</t>
  </si>
  <si>
    <t>Villasenor, Jose</t>
  </si>
  <si>
    <t>30LS03630C</t>
  </si>
  <si>
    <t>Vo (Telework), Jenny</t>
  </si>
  <si>
    <t>30LS03US04 (TW/TC)</t>
  </si>
  <si>
    <t>Vuong (Telework), David</t>
  </si>
  <si>
    <t>30LS03US02 (TW/TC)</t>
  </si>
  <si>
    <t>Walker, Marissa</t>
  </si>
  <si>
    <t>SSU6533</t>
  </si>
  <si>
    <t>Wang,2, Shixin</t>
  </si>
  <si>
    <t>30LS03G405</t>
  </si>
  <si>
    <t>Williams, Jonathan</t>
  </si>
  <si>
    <t>30LS03A804</t>
  </si>
  <si>
    <t>Williams, Nic</t>
  </si>
  <si>
    <t>30LS03NE06</t>
  </si>
  <si>
    <t>Wolik 2 (Th &amp; F), Danelle</t>
  </si>
  <si>
    <t>30LS03JP07</t>
  </si>
  <si>
    <t>Youssef 2, Marie</t>
  </si>
  <si>
    <t>30LS03DF04</t>
  </si>
  <si>
    <t>no longer at ARC - no assignments</t>
  </si>
  <si>
    <t>Zarate,2, Sandra</t>
  </si>
  <si>
    <t>30ES03310I</t>
  </si>
  <si>
    <t>30LS035K11 (Restricted)</t>
  </si>
  <si>
    <t>30ES033A04</t>
  </si>
  <si>
    <t>Ziemke, Amy</t>
  </si>
  <si>
    <t>30LS03S104</t>
  </si>
  <si>
    <t>Zuleta, 2 (Th &amp; F), Cherise</t>
  </si>
  <si>
    <t>30LS03D90F</t>
  </si>
  <si>
    <t>Steps</t>
  </si>
  <si>
    <t>open WMS</t>
  </si>
  <si>
    <t>click Attendance</t>
  </si>
  <si>
    <r>
      <rPr>
        <sz val="18"/>
        <color rgb="FF000000"/>
        <rFont val="Calibri"/>
        <family val="2"/>
      </rPr>
      <t xml:space="preserve">copy entire attendance (from </t>
    </r>
    <r>
      <rPr>
        <b/>
        <sz val="18"/>
        <color rgb="FF000000"/>
        <rFont val="Calibri"/>
        <family val="2"/>
      </rPr>
      <t>name</t>
    </r>
    <r>
      <rPr>
        <sz val="18"/>
        <color rgb="FF000000"/>
        <rFont val="Calibri"/>
        <family val="2"/>
      </rPr>
      <t xml:space="preserve"> all the way down)</t>
    </r>
  </si>
  <si>
    <t>open CIO log</t>
  </si>
  <si>
    <r>
      <t xml:space="preserve">go to </t>
    </r>
    <r>
      <rPr>
        <i/>
        <sz val="18"/>
        <color theme="1"/>
        <rFont val="Calibri"/>
        <family val="2"/>
        <scheme val="minor"/>
      </rPr>
      <t>WMS Attendance</t>
    </r>
    <r>
      <rPr>
        <sz val="18"/>
        <color theme="1"/>
        <rFont val="Calibri"/>
        <family val="2"/>
        <scheme val="minor"/>
      </rPr>
      <t xml:space="preserve"> sheet</t>
    </r>
  </si>
  <si>
    <t>click cell 'A1' and CTRL+SHIFT+V OR right-click-&gt;paste-&gt;values</t>
  </si>
  <si>
    <r>
      <t xml:space="preserve">go to </t>
    </r>
    <r>
      <rPr>
        <b/>
        <i/>
        <sz val="18"/>
        <color rgb="FF000000"/>
        <rFont val="Calibri"/>
        <family val="2"/>
      </rPr>
      <t>Daily CIO</t>
    </r>
    <r>
      <rPr>
        <b/>
        <sz val="18"/>
        <color rgb="FF000000"/>
        <rFont val="Calibri"/>
        <family val="2"/>
      </rPr>
      <t xml:space="preserve"> sheet</t>
    </r>
  </si>
  <si>
    <t>clear CIO's from previous day</t>
  </si>
  <si>
    <t>highlight entire sheet</t>
  </si>
  <si>
    <t>go to sort &amp; filter in top right of Excel and click "Custom Sort"</t>
  </si>
  <si>
    <t>check "My data has headers" box &amp; hit "Okay" on the pop-up</t>
  </si>
  <si>
    <t>Additional Comments:</t>
  </si>
  <si>
    <t>If a worker leaves ARC or transfers, right click the number to their left, and 'delete rows' to remove them - confer with Paul.</t>
  </si>
  <si>
    <t>If a new worker arrives to ARC, input their details at the bottom of the sheet.</t>
  </si>
  <si>
    <r>
      <t xml:space="preserve">The </t>
    </r>
    <r>
      <rPr>
        <i/>
        <sz val="12"/>
        <color rgb="FF000000"/>
        <rFont val="Calibri"/>
        <family val="2"/>
      </rPr>
      <t xml:space="preserve">Daily CIO </t>
    </r>
    <r>
      <rPr>
        <sz val="12"/>
        <color rgb="FF000000"/>
        <rFont val="Calibri"/>
        <family val="2"/>
      </rPr>
      <t>does not automatically rotate.</t>
    </r>
  </si>
  <si>
    <r>
      <rPr>
        <i/>
        <sz val="12"/>
        <color rgb="FF000000"/>
        <rFont val="Calibri"/>
        <family val="2"/>
      </rPr>
      <t>Daily CIO</t>
    </r>
    <r>
      <rPr>
        <sz val="12"/>
        <color rgb="FF000000"/>
        <rFont val="Calibri"/>
        <family val="2"/>
      </rPr>
      <t xml:space="preserve"> does not have a dynamic pipeline to WMS database - in lamens terms, you still need to type the worker's last name in WMS attendance to make sure they're still available</t>
    </r>
    <r>
      <rPr>
        <i/>
        <sz val="12"/>
        <color rgb="FF000000"/>
        <rFont val="Calibri"/>
        <family val="2"/>
      </rPr>
      <t xml:space="preserve"> (or drop in an updated attendance every ~30 minutes).</t>
    </r>
  </si>
  <si>
    <t>Total CIO's today</t>
  </si>
  <si>
    <t>English CIO's</t>
  </si>
  <si>
    <t>Spanish CIO's</t>
  </si>
  <si>
    <t>Other lang. CIO's</t>
  </si>
  <si>
    <t>Time</t>
  </si>
  <si>
    <t># of CIO's</t>
  </si>
  <si>
    <t>8-9 AM</t>
  </si>
  <si>
    <t>9-10 AM</t>
  </si>
  <si>
    <t>10-11 AM</t>
  </si>
  <si>
    <t>11-12 AM</t>
  </si>
  <si>
    <t>12-1 PM</t>
  </si>
  <si>
    <t>Regular CIO's</t>
  </si>
  <si>
    <t>1-2 PM</t>
  </si>
  <si>
    <r>
      <rPr>
        <b/>
        <i/>
        <sz val="18"/>
        <color rgb="FF000000"/>
        <rFont val="Calibri"/>
        <family val="2"/>
      </rPr>
      <t>Pending</t>
    </r>
    <r>
      <rPr>
        <b/>
        <sz val="18"/>
        <color rgb="FF000000"/>
        <rFont val="Calibri"/>
        <family val="2"/>
      </rPr>
      <t xml:space="preserve"> </t>
    </r>
    <r>
      <rPr>
        <b/>
        <i/>
        <sz val="18"/>
        <color rgb="FF000000"/>
        <rFont val="Calibri"/>
        <family val="2"/>
      </rPr>
      <t>Task</t>
    </r>
    <r>
      <rPr>
        <b/>
        <sz val="18"/>
        <color rgb="FF000000"/>
        <rFont val="Calibri"/>
        <family val="2"/>
      </rPr>
      <t xml:space="preserve"> CIO's</t>
    </r>
  </si>
  <si>
    <t>2-3 PM</t>
  </si>
  <si>
    <t>3-4 PM</t>
  </si>
  <si>
    <t>4-5 PM</t>
  </si>
  <si>
    <t>Total</t>
  </si>
  <si>
    <t>Regular</t>
  </si>
  <si>
    <t>Pending Task</t>
  </si>
  <si>
    <t>Time2</t>
  </si>
  <si>
    <t>Percent</t>
  </si>
  <si>
    <t>Start Time</t>
  </si>
  <si>
    <t>End Time</t>
  </si>
  <si>
    <t>CIO's</t>
  </si>
  <si>
    <t>*insert new ET's here*</t>
  </si>
  <si>
    <t># of CIO's Given</t>
  </si>
  <si>
    <t>Lang.</t>
  </si>
  <si>
    <t>End of Day</t>
  </si>
  <si>
    <t>Flex</t>
  </si>
  <si>
    <t>Victoria Unit 12pm lunch</t>
  </si>
  <si>
    <t>Sergio Unit 12:30 lunch</t>
  </si>
  <si>
    <t>Eng.</t>
  </si>
  <si>
    <t>NPF</t>
  </si>
  <si>
    <t>PF</t>
  </si>
  <si>
    <t>W</t>
  </si>
  <si>
    <t>PM</t>
  </si>
  <si>
    <t xml:space="preserve"> </t>
  </si>
  <si>
    <t>Span.</t>
  </si>
  <si>
    <t>BELOW THIS LINE</t>
  </si>
  <si>
    <t>IN - A/A</t>
  </si>
  <si>
    <t>Eng/Viet.</t>
  </si>
  <si>
    <t>NPM</t>
  </si>
  <si>
    <t>Hansora, Sharan</t>
  </si>
  <si>
    <t>30LS035Y01</t>
  </si>
  <si>
    <t>Pre-approved 12/26-1/16/2024</t>
  </si>
  <si>
    <t>30LS035K08</t>
  </si>
  <si>
    <t>30LS035K09</t>
  </si>
  <si>
    <t>30LS035K0T</t>
  </si>
  <si>
    <t>(NO CIO's)</t>
  </si>
  <si>
    <t>Done, winner winner chicken dinner</t>
  </si>
  <si>
    <t>Monday, November 20, 2023</t>
  </si>
  <si>
    <t>Farsi</t>
  </si>
  <si>
    <t>Vietnamese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</si>
</sst>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400]h:mm:ss\ AM/PM"/>
    <numFmt numFmtId="165" formatCode="[$-409]h:mm\ AM/PM;@"/>
    <numFmt numFmtId="166" formatCode="[$-F800]dddd\,\ mmmm\ dd\,\ yyyy"/>
    <numFmt numFmtId="167" formatCode="m/d/yy\ h:mm;@"/>
  </numFmts>
  <fonts count="5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0C6A8A"/>
      <name val="Calibri"/>
      <family val="2"/>
      <scheme val="minor"/>
    </font>
    <font>
      <sz val="11"/>
      <color rgb="FF008000"/>
      <name val="Calibri"/>
      <family val="2"/>
      <scheme val="minor"/>
    </font>
    <font>
      <sz val="18"/>
      <color rgb="FF000000"/>
      <name val="Calibri"/>
      <family val="2"/>
    </font>
    <font>
      <i/>
      <sz val="12"/>
      <color rgb="FF000000"/>
      <name val="Calibri"/>
      <family val="2"/>
    </font>
    <font>
      <sz val="12"/>
      <color rgb="FF000000"/>
      <name val="Calibri"/>
      <family val="2"/>
    </font>
    <font>
      <sz val="14"/>
      <color rgb="FF000000"/>
      <name val="Calibri"/>
      <family val="2"/>
    </font>
    <font>
      <b/>
      <sz val="12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sz val="1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8"/>
      <color rgb="FF000000"/>
      <name val="Calibri"/>
      <family val="2"/>
    </font>
    <font>
      <b/>
      <i/>
      <sz val="18"/>
      <color rgb="FF000000"/>
      <name val="Calibri"/>
      <family val="2"/>
    </font>
    <font>
      <i/>
      <sz val="18"/>
      <color theme="1"/>
      <name val="Calibri"/>
      <family val="2"/>
      <scheme val="minor"/>
    </font>
    <font>
      <sz val="8"/>
      <color rgb="FF000000"/>
      <name val="Calibri"/>
      <family val="2"/>
    </font>
    <font>
      <sz val="8"/>
      <color theme="1"/>
      <name val="Calibri"/>
      <family val="2"/>
      <scheme val="minor"/>
    </font>
    <font>
      <sz val="16"/>
      <color rgb="FF375623"/>
      <name val="Calibri"/>
      <family val="2"/>
      <scheme val="minor"/>
    </font>
    <font>
      <sz val="11"/>
      <color rgb="FF000000"/>
      <name val="Calibri"/>
      <family val="2"/>
    </font>
    <font>
      <sz val="16"/>
      <color rgb="FF000000"/>
      <name val="Calibri"/>
      <family val="2"/>
    </font>
    <font>
      <sz val="20"/>
      <color rgb="FF000000"/>
      <name val="Calibri"/>
      <family val="2"/>
    </font>
    <font>
      <b/>
      <sz val="16"/>
      <color rgb="FF000000"/>
      <name val="Calibri"/>
      <family val="2"/>
    </font>
    <font>
      <sz val="1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color rgb="FF000000"/>
      <name val="Calibri"/>
    </font>
    <font>
      <sz val="12"/>
      <color rgb="FF000000"/>
      <name val="Calibri"/>
    </font>
    <font>
      <b/>
      <sz val="16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sz val="8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sz val="10"/>
      <color rgb="FF000000"/>
      <name val="Calibri"/>
      <family val="2"/>
    </font>
  </fonts>
  <fills count="5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7FAFB"/>
        <bgColor indexed="64"/>
      </patternFill>
    </fill>
    <fill>
      <patternFill patternType="solid">
        <fgColor rgb="FFA9D08E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E8F0F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E7DAF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E8BEBE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D0CECE"/>
        <bgColor rgb="FF000000"/>
      </patternFill>
    </fill>
    <fill>
      <patternFill patternType="solid">
        <fgColor rgb="FF8EA9DB"/>
        <bgColor rgb="FF000000"/>
      </patternFill>
    </fill>
    <fill>
      <patternFill patternType="solid">
        <fgColor rgb="FFA6A6A6"/>
        <bgColor rgb="FF000000"/>
      </patternFill>
    </fill>
    <fill>
      <patternFill patternType="solid">
        <fgColor rgb="FFEDEDED"/>
        <bgColor rgb="FF000000"/>
      </patternFill>
    </fill>
    <fill>
      <patternFill patternType="solid">
        <fgColor rgb="FFD44646"/>
        <bgColor rgb="FF000000"/>
      </patternFill>
    </fill>
    <fill>
      <patternFill patternType="solid">
        <fgColor rgb="FF375623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rgb="FFFFD966"/>
        <bgColor rgb="FF000000"/>
      </patternFill>
    </fill>
    <fill>
      <patternFill patternType="solid">
        <fgColor rgb="FFD9E1F2"/>
        <bgColor rgb="FF000000"/>
      </patternFill>
    </fill>
    <fill>
      <patternFill patternType="solid">
        <fgColor rgb="FFF2F2F2"/>
        <bgColor rgb="FF000000"/>
      </patternFill>
    </fill>
    <fill>
      <patternFill patternType="solid">
        <fgColor rgb="FF808080"/>
        <bgColor rgb="FF000000"/>
      </patternFill>
    </fill>
    <fill>
      <patternFill patternType="solid">
        <fgColor rgb="FFFFFFFF"/>
        <bgColor rgb="FF000000"/>
      </patternFill>
    </fill>
  </fills>
  <borders count="6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rgb="FFFFFFFF"/>
      </left>
      <right/>
      <top style="thin">
        <color rgb="FFFFFFFF"/>
      </top>
      <bottom style="thin">
        <color rgb="FFE8E6E1"/>
      </bottom>
      <diagonal/>
    </border>
    <border>
      <left/>
      <right/>
      <top style="thin">
        <color rgb="FFFFFFFF"/>
      </top>
      <bottom style="thin">
        <color rgb="FFE8E6E1"/>
      </bottom>
      <diagonal/>
    </border>
    <border>
      <left/>
      <right style="thin">
        <color rgb="FFE8E6E1"/>
      </right>
      <top style="thin">
        <color rgb="FFFFFFFF"/>
      </top>
      <bottom style="thin">
        <color rgb="FFE8E6E1"/>
      </bottom>
      <diagonal/>
    </border>
    <border>
      <left/>
      <right/>
      <top/>
      <bottom style="medium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dotted">
        <color rgb="FF00000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rgb="FFCCCCCC"/>
      </bottom>
      <diagonal/>
    </border>
    <border>
      <left/>
      <right style="thin">
        <color rgb="FFCCCCCC"/>
      </right>
      <top/>
      <bottom style="thin">
        <color rgb="FFCCCCCC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FFFFFF"/>
      </left>
      <right/>
      <top style="thin">
        <color rgb="FFFFFFFF"/>
      </top>
      <bottom style="thin">
        <color rgb="FF000000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auto="1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dotted">
        <color rgb="FF000000"/>
      </left>
      <right/>
      <top/>
      <bottom/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/>
      <bottom/>
      <diagonal/>
    </border>
    <border>
      <left style="dotted">
        <color rgb="FF000000"/>
      </left>
      <right style="dotted">
        <color rgb="FF000000"/>
      </right>
      <top/>
      <bottom style="dotted">
        <color rgb="FF000000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83">
    <xf numFmtId="0" fontId="0" fillId="0" borderId="0" xfId="0"/>
    <xf numFmtId="0" fontId="21" fillId="0" borderId="0" xfId="0" applyFont="1"/>
    <xf numFmtId="0" fontId="18" fillId="0" borderId="0" xfId="0" applyFont="1"/>
    <xf numFmtId="0" fontId="20" fillId="33" borderId="0" xfId="0" applyFont="1" applyFill="1"/>
    <xf numFmtId="0" fontId="20" fillId="34" borderId="0" xfId="0" applyFont="1" applyFill="1"/>
    <xf numFmtId="0" fontId="20" fillId="36" borderId="12" xfId="0" applyFont="1" applyFill="1" applyBorder="1"/>
    <xf numFmtId="0" fontId="27" fillId="35" borderId="17" xfId="0" applyFont="1" applyFill="1" applyBorder="1"/>
    <xf numFmtId="0" fontId="31" fillId="38" borderId="0" xfId="0" applyFont="1" applyFill="1" applyAlignment="1">
      <alignment horizontal="center"/>
    </xf>
    <xf numFmtId="0" fontId="33" fillId="0" borderId="0" xfId="0" applyFont="1" applyAlignment="1">
      <alignment horizontal="center"/>
    </xf>
    <xf numFmtId="0" fontId="32" fillId="0" borderId="0" xfId="0" applyFont="1" applyAlignment="1">
      <alignment horizontal="center"/>
    </xf>
    <xf numFmtId="0" fontId="32" fillId="39" borderId="11" xfId="0" applyFont="1" applyFill="1" applyBorder="1" applyAlignment="1">
      <alignment horizontal="center"/>
    </xf>
    <xf numFmtId="0" fontId="32" fillId="39" borderId="2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24" fillId="0" borderId="0" xfId="0" applyFont="1"/>
    <xf numFmtId="0" fontId="34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0" fontId="35" fillId="34" borderId="0" xfId="0" applyFont="1" applyFill="1"/>
    <xf numFmtId="0" fontId="36" fillId="34" borderId="0" xfId="0" applyFont="1" applyFill="1"/>
    <xf numFmtId="0" fontId="35" fillId="33" borderId="0" xfId="0" applyFont="1" applyFill="1"/>
    <xf numFmtId="0" fontId="35" fillId="35" borderId="13" xfId="0" applyFont="1" applyFill="1" applyBorder="1"/>
    <xf numFmtId="0" fontId="20" fillId="35" borderId="0" xfId="0" applyFont="1" applyFill="1"/>
    <xf numFmtId="0" fontId="39" fillId="0" borderId="0" xfId="0" applyFont="1" applyAlignment="1">
      <alignment horizontal="center"/>
    </xf>
    <xf numFmtId="0" fontId="29" fillId="39" borderId="21" xfId="0" applyFont="1" applyFill="1" applyBorder="1"/>
    <xf numFmtId="0" fontId="29" fillId="39" borderId="24" xfId="0" applyFont="1" applyFill="1" applyBorder="1"/>
    <xf numFmtId="0" fontId="22" fillId="0" borderId="0" xfId="0" applyFont="1"/>
    <xf numFmtId="0" fontId="40" fillId="0" borderId="0" xfId="0" applyFont="1" applyAlignment="1">
      <alignment horizontal="center"/>
    </xf>
    <xf numFmtId="20" fontId="0" fillId="0" borderId="0" xfId="0" applyNumberFormat="1"/>
    <xf numFmtId="0" fontId="41" fillId="0" borderId="0" xfId="0" applyFont="1" applyAlignment="1">
      <alignment horizontal="left"/>
    </xf>
    <xf numFmtId="0" fontId="0" fillId="37" borderId="14" xfId="0" applyFill="1" applyBorder="1"/>
    <xf numFmtId="0" fontId="25" fillId="37" borderId="15" xfId="0" applyFont="1" applyFill="1" applyBorder="1"/>
    <xf numFmtId="0" fontId="0" fillId="37" borderId="15" xfId="0" applyFill="1" applyBorder="1"/>
    <xf numFmtId="0" fontId="26" fillId="37" borderId="15" xfId="0" applyFont="1" applyFill="1" applyBorder="1"/>
    <xf numFmtId="0" fontId="0" fillId="37" borderId="16" xfId="0" applyFill="1" applyBorder="1"/>
    <xf numFmtId="0" fontId="14" fillId="37" borderId="15" xfId="0" applyFont="1" applyFill="1" applyBorder="1"/>
    <xf numFmtId="20" fontId="39" fillId="0" borderId="0" xfId="0" applyNumberFormat="1" applyFont="1" applyAlignment="1">
      <alignment horizontal="center"/>
    </xf>
    <xf numFmtId="0" fontId="16" fillId="40" borderId="37" xfId="0" applyFont="1" applyFill="1" applyBorder="1"/>
    <xf numFmtId="0" fontId="0" fillId="40" borderId="37" xfId="0" applyFill="1" applyBorder="1"/>
    <xf numFmtId="0" fontId="0" fillId="40" borderId="38" xfId="0" applyFill="1" applyBorder="1"/>
    <xf numFmtId="0" fontId="0" fillId="41" borderId="0" xfId="0" applyFill="1"/>
    <xf numFmtId="0" fontId="29" fillId="39" borderId="39" xfId="0" applyFont="1" applyFill="1" applyBorder="1"/>
    <xf numFmtId="0" fontId="23" fillId="42" borderId="0" xfId="0" applyFont="1" applyFill="1" applyAlignment="1">
      <alignment horizontal="center"/>
    </xf>
    <xf numFmtId="0" fontId="0" fillId="37" borderId="0" xfId="0" applyFill="1"/>
    <xf numFmtId="0" fontId="29" fillId="39" borderId="23" xfId="0" applyFont="1" applyFill="1" applyBorder="1"/>
    <xf numFmtId="0" fontId="28" fillId="0" borderId="0" xfId="0" applyFont="1" applyAlignment="1">
      <alignment horizontal="left" wrapText="1"/>
    </xf>
    <xf numFmtId="0" fontId="27" fillId="33" borderId="0" xfId="0" applyFont="1" applyFill="1"/>
    <xf numFmtId="0" fontId="44" fillId="0" borderId="0" xfId="0" applyFont="1" applyAlignment="1">
      <alignment horizontal="center"/>
    </xf>
    <xf numFmtId="0" fontId="42" fillId="0" borderId="0" xfId="0" applyFont="1" applyAlignment="1">
      <alignment horizontal="center"/>
    </xf>
    <xf numFmtId="9" fontId="44" fillId="0" borderId="0" xfId="0" applyNumberFormat="1" applyFont="1" applyAlignment="1">
      <alignment horizontal="center"/>
    </xf>
    <xf numFmtId="0" fontId="43" fillId="0" borderId="0" xfId="0" applyFont="1" applyAlignment="1">
      <alignment horizontal="center"/>
    </xf>
    <xf numFmtId="0" fontId="45" fillId="0" borderId="0" xfId="0" applyFont="1" applyAlignment="1">
      <alignment horizontal="left"/>
    </xf>
    <xf numFmtId="0" fontId="18" fillId="0" borderId="0" xfId="0" applyFont="1" applyAlignment="1">
      <alignment horizontal="center"/>
    </xf>
    <xf numFmtId="0" fontId="36" fillId="0" borderId="0" xfId="0" applyFont="1" applyAlignment="1">
      <alignment horizontal="left"/>
    </xf>
    <xf numFmtId="0" fontId="45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18" fontId="0" fillId="0" borderId="0" xfId="0" applyNumberFormat="1" applyAlignment="1">
      <alignment horizontal="center"/>
    </xf>
    <xf numFmtId="0" fontId="29" fillId="39" borderId="27" xfId="0" applyFont="1" applyFill="1" applyBorder="1"/>
    <xf numFmtId="20" fontId="0" fillId="0" borderId="0" xfId="0" applyNumberFormat="1" applyAlignment="1">
      <alignment horizontal="center"/>
    </xf>
    <xf numFmtId="164" fontId="0" fillId="0" borderId="0" xfId="0" applyNumberFormat="1"/>
    <xf numFmtId="9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47" xfId="0" applyBorder="1"/>
    <xf numFmtId="0" fontId="0" fillId="0" borderId="48" xfId="0" applyBorder="1"/>
    <xf numFmtId="0" fontId="0" fillId="0" borderId="49" xfId="0" applyBorder="1"/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164" fontId="0" fillId="0" borderId="50" xfId="0" applyNumberFormat="1" applyBorder="1" applyAlignment="1">
      <alignment horizontal="center"/>
    </xf>
    <xf numFmtId="164" fontId="0" fillId="0" borderId="52" xfId="0" applyNumberFormat="1" applyBorder="1" applyAlignment="1">
      <alignment horizontal="center"/>
    </xf>
    <xf numFmtId="164" fontId="0" fillId="0" borderId="17" xfId="0" applyNumberFormat="1" applyBorder="1" applyAlignment="1">
      <alignment horizontal="center"/>
    </xf>
    <xf numFmtId="0" fontId="0" fillId="0" borderId="17" xfId="0" applyBorder="1" applyAlignment="1">
      <alignment horizontal="center"/>
    </xf>
    <xf numFmtId="165" fontId="0" fillId="43" borderId="0" xfId="0" applyNumberFormat="1" applyFill="1" applyAlignment="1">
      <alignment horizontal="center"/>
    </xf>
    <xf numFmtId="0" fontId="0" fillId="0" borderId="53" xfId="0" applyBorder="1"/>
    <xf numFmtId="0" fontId="0" fillId="0" borderId="47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48" xfId="0" applyBorder="1" applyAlignment="1">
      <alignment horizontal="center"/>
    </xf>
    <xf numFmtId="0" fontId="39" fillId="42" borderId="31" xfId="0" applyFont="1" applyFill="1" applyBorder="1" applyAlignment="1">
      <alignment horizontal="center"/>
    </xf>
    <xf numFmtId="0" fontId="48" fillId="42" borderId="31" xfId="0" applyFont="1" applyFill="1" applyBorder="1" applyAlignment="1">
      <alignment horizontal="center"/>
    </xf>
    <xf numFmtId="0" fontId="48" fillId="0" borderId="0" xfId="0" applyFont="1" applyAlignment="1">
      <alignment horizontal="center"/>
    </xf>
    <xf numFmtId="2" fontId="18" fillId="0" borderId="0" xfId="0" applyNumberFormat="1" applyFont="1" applyAlignment="1">
      <alignment horizontal="center"/>
    </xf>
    <xf numFmtId="0" fontId="14" fillId="37" borderId="16" xfId="0" applyFont="1" applyFill="1" applyBorder="1"/>
    <xf numFmtId="0" fontId="39" fillId="0" borderId="31" xfId="0" applyFont="1" applyBorder="1" applyAlignment="1">
      <alignment horizontal="center"/>
    </xf>
    <xf numFmtId="0" fontId="39" fillId="42" borderId="0" xfId="0" applyFont="1" applyFill="1" applyAlignment="1">
      <alignment horizontal="center"/>
    </xf>
    <xf numFmtId="0" fontId="40" fillId="0" borderId="31" xfId="0" applyFont="1" applyBorder="1" applyAlignment="1">
      <alignment horizontal="center"/>
    </xf>
    <xf numFmtId="0" fontId="29" fillId="39" borderId="44" xfId="0" applyFont="1" applyFill="1" applyBorder="1"/>
    <xf numFmtId="0" fontId="32" fillId="44" borderId="10" xfId="0" applyFont="1" applyFill="1" applyBorder="1" applyAlignment="1">
      <alignment horizontal="center"/>
    </xf>
    <xf numFmtId="0" fontId="30" fillId="44" borderId="18" xfId="0" applyFont="1" applyFill="1" applyBorder="1"/>
    <xf numFmtId="0" fontId="30" fillId="44" borderId="26" xfId="0" applyFont="1" applyFill="1" applyBorder="1"/>
    <xf numFmtId="0" fontId="30" fillId="44" borderId="27" xfId="0" applyFont="1" applyFill="1" applyBorder="1"/>
    <xf numFmtId="0" fontId="29" fillId="45" borderId="23" xfId="0" applyFont="1" applyFill="1" applyBorder="1" applyAlignment="1">
      <alignment horizontal="center"/>
    </xf>
    <xf numFmtId="20" fontId="29" fillId="45" borderId="23" xfId="0" applyNumberFormat="1" applyFont="1" applyFill="1" applyBorder="1" applyAlignment="1">
      <alignment horizontal="center"/>
    </xf>
    <xf numFmtId="0" fontId="29" fillId="45" borderId="27" xfId="0" applyFont="1" applyFill="1" applyBorder="1" applyAlignment="1">
      <alignment horizontal="center"/>
    </xf>
    <xf numFmtId="0" fontId="29" fillId="45" borderId="46" xfId="0" applyFont="1" applyFill="1" applyBorder="1" applyAlignment="1">
      <alignment horizontal="center"/>
    </xf>
    <xf numFmtId="0" fontId="29" fillId="45" borderId="43" xfId="0" applyFont="1" applyFill="1" applyBorder="1" applyAlignment="1">
      <alignment horizontal="center"/>
    </xf>
    <xf numFmtId="0" fontId="32" fillId="45" borderId="41" xfId="0" applyFont="1" applyFill="1" applyBorder="1" applyAlignment="1">
      <alignment horizontal="center"/>
    </xf>
    <xf numFmtId="0" fontId="29" fillId="45" borderId="26" xfId="0" applyFont="1" applyFill="1" applyBorder="1" applyAlignment="1">
      <alignment horizontal="center"/>
    </xf>
    <xf numFmtId="0" fontId="29" fillId="45" borderId="21" xfId="0" applyFont="1" applyFill="1" applyBorder="1" applyAlignment="1">
      <alignment horizontal="center"/>
    </xf>
    <xf numFmtId="0" fontId="29" fillId="45" borderId="19" xfId="0" applyFont="1" applyFill="1" applyBorder="1" applyAlignment="1">
      <alignment horizontal="center"/>
    </xf>
    <xf numFmtId="0" fontId="29" fillId="45" borderId="36" xfId="0" applyFont="1" applyFill="1" applyBorder="1" applyAlignment="1">
      <alignment horizontal="center"/>
    </xf>
    <xf numFmtId="0" fontId="29" fillId="45" borderId="18" xfId="0" applyFont="1" applyFill="1" applyBorder="1" applyAlignment="1">
      <alignment horizontal="center"/>
    </xf>
    <xf numFmtId="0" fontId="0" fillId="45" borderId="36" xfId="0" applyFill="1" applyBorder="1" applyAlignment="1">
      <alignment horizontal="center"/>
    </xf>
    <xf numFmtId="0" fontId="29" fillId="45" borderId="30" xfId="0" applyFont="1" applyFill="1" applyBorder="1" applyAlignment="1">
      <alignment horizontal="center"/>
    </xf>
    <xf numFmtId="20" fontId="29" fillId="45" borderId="19" xfId="0" applyNumberFormat="1" applyFont="1" applyFill="1" applyBorder="1" applyAlignment="1">
      <alignment horizontal="center"/>
    </xf>
    <xf numFmtId="20" fontId="29" fillId="45" borderId="21" xfId="0" applyNumberFormat="1" applyFont="1" applyFill="1" applyBorder="1" applyAlignment="1">
      <alignment horizontal="center"/>
    </xf>
    <xf numFmtId="0" fontId="0" fillId="45" borderId="27" xfId="0" applyFill="1" applyBorder="1" applyAlignment="1">
      <alignment horizontal="center"/>
    </xf>
    <xf numFmtId="0" fontId="0" fillId="46" borderId="32" xfId="0" applyFill="1" applyBorder="1" applyAlignment="1">
      <alignment horizontal="center"/>
    </xf>
    <xf numFmtId="0" fontId="0" fillId="46" borderId="33" xfId="0" applyFill="1" applyBorder="1" applyAlignment="1">
      <alignment horizontal="center"/>
    </xf>
    <xf numFmtId="0" fontId="0" fillId="46" borderId="34" xfId="0" applyFill="1" applyBorder="1" applyAlignment="1">
      <alignment horizontal="center"/>
    </xf>
    <xf numFmtId="0" fontId="29" fillId="0" borderId="0" xfId="0" applyFont="1" applyAlignment="1">
      <alignment horizontal="center"/>
    </xf>
    <xf numFmtId="0" fontId="49" fillId="0" borderId="0" xfId="0" applyFont="1" applyAlignment="1">
      <alignment horizontal="center"/>
    </xf>
    <xf numFmtId="0" fontId="29" fillId="0" borderId="29" xfId="0" applyFont="1" applyBorder="1" applyAlignment="1">
      <alignment horizontal="center"/>
    </xf>
    <xf numFmtId="0" fontId="29" fillId="45" borderId="25" xfId="0" applyFont="1" applyFill="1" applyBorder="1" applyAlignment="1">
      <alignment horizontal="center"/>
    </xf>
    <xf numFmtId="0" fontId="30" fillId="44" borderId="40" xfId="0" applyFont="1" applyFill="1" applyBorder="1"/>
    <xf numFmtId="0" fontId="29" fillId="45" borderId="42" xfId="0" applyFont="1" applyFill="1" applyBorder="1" applyAlignment="1">
      <alignment horizontal="center"/>
    </xf>
    <xf numFmtId="0" fontId="29" fillId="45" borderId="22" xfId="0" applyFont="1" applyFill="1" applyBorder="1" applyAlignment="1">
      <alignment horizontal="center"/>
    </xf>
    <xf numFmtId="0" fontId="29" fillId="45" borderId="0" xfId="0" applyFont="1" applyFill="1" applyAlignment="1">
      <alignment horizontal="center"/>
    </xf>
    <xf numFmtId="0" fontId="29" fillId="45" borderId="31" xfId="0" applyFont="1" applyFill="1" applyBorder="1" applyAlignment="1">
      <alignment horizontal="center"/>
    </xf>
    <xf numFmtId="20" fontId="29" fillId="45" borderId="22" xfId="0" applyNumberFormat="1" applyFont="1" applyFill="1" applyBorder="1" applyAlignment="1">
      <alignment horizontal="center"/>
    </xf>
    <xf numFmtId="14" fontId="39" fillId="0" borderId="0" xfId="0" applyNumberFormat="1" applyFont="1" applyAlignment="1">
      <alignment horizontal="center"/>
    </xf>
    <xf numFmtId="0" fontId="30" fillId="0" borderId="0" xfId="0" applyFont="1"/>
    <xf numFmtId="0" fontId="30" fillId="44" borderId="10" xfId="0" applyFont="1" applyFill="1" applyBorder="1"/>
    <xf numFmtId="0" fontId="29" fillId="39" borderId="35" xfId="0" applyFont="1" applyFill="1" applyBorder="1"/>
    <xf numFmtId="0" fontId="29" fillId="39" borderId="28" xfId="0" applyFont="1" applyFill="1" applyBorder="1"/>
    <xf numFmtId="20" fontId="39" fillId="0" borderId="31" xfId="0" applyNumberFormat="1" applyFont="1" applyBorder="1" applyAlignment="1">
      <alignment horizontal="center"/>
    </xf>
    <xf numFmtId="0" fontId="30" fillId="0" borderId="28" xfId="0" applyFont="1" applyBorder="1"/>
    <xf numFmtId="0" fontId="29" fillId="0" borderId="22" xfId="0" applyFont="1" applyBorder="1" applyAlignment="1">
      <alignment horizontal="center"/>
    </xf>
    <xf numFmtId="20" fontId="29" fillId="45" borderId="27" xfId="0" applyNumberFormat="1" applyFont="1" applyFill="1" applyBorder="1" applyAlignment="1">
      <alignment horizontal="center"/>
    </xf>
    <xf numFmtId="0" fontId="29" fillId="39" borderId="45" xfId="0" applyFont="1" applyFill="1" applyBorder="1"/>
    <xf numFmtId="0" fontId="32" fillId="0" borderId="0" xfId="0" applyFont="1"/>
    <xf numFmtId="0" fontId="29" fillId="0" borderId="0" xfId="0" applyFont="1" applyAlignment="1">
      <alignment horizontal="left"/>
    </xf>
    <xf numFmtId="22" fontId="42" fillId="0" borderId="0" xfId="0" applyNumberFormat="1" applyFont="1" applyAlignment="1">
      <alignment horizontal="center"/>
    </xf>
    <xf numFmtId="0" fontId="27" fillId="0" borderId="0" xfId="0" applyFont="1" applyAlignment="1">
      <alignment horizontal="center"/>
    </xf>
    <xf numFmtId="9" fontId="27" fillId="0" borderId="0" xfId="0" applyNumberFormat="1" applyFont="1" applyAlignment="1">
      <alignment horizontal="center"/>
    </xf>
    <xf numFmtId="166" fontId="30" fillId="0" borderId="0" xfId="0" applyNumberFormat="1" applyFont="1" applyAlignment="1">
      <alignment horizontal="center"/>
    </xf>
    <xf numFmtId="167" fontId="30" fillId="0" borderId="0" xfId="0" applyNumberFormat="1" applyFont="1" applyAlignment="1">
      <alignment horizontal="center"/>
    </xf>
    <xf numFmtId="0" fontId="50" fillId="47" borderId="0" xfId="0" applyFont="1" applyFill="1" applyAlignment="1">
      <alignment horizontal="center" vertical="center"/>
    </xf>
    <xf numFmtId="0" fontId="50" fillId="0" borderId="0" xfId="0" applyFont="1" applyAlignment="1">
      <alignment horizontal="center" vertical="center"/>
    </xf>
    <xf numFmtId="0" fontId="50" fillId="48" borderId="0" xfId="0" applyFont="1" applyFill="1" applyAlignment="1">
      <alignment horizontal="center" vertical="center"/>
    </xf>
    <xf numFmtId="0" fontId="51" fillId="0" borderId="0" xfId="0" applyFont="1"/>
    <xf numFmtId="0" fontId="51" fillId="49" borderId="0" xfId="0" applyFont="1" applyFill="1" applyAlignment="1">
      <alignment horizontal="center" vertical="center"/>
    </xf>
    <xf numFmtId="0" fontId="52" fillId="50" borderId="0" xfId="0" applyFont="1" applyFill="1" applyAlignment="1">
      <alignment horizontal="center" vertical="center" wrapText="1"/>
    </xf>
    <xf numFmtId="0" fontId="50" fillId="51" borderId="0" xfId="0" applyFont="1" applyFill="1" applyAlignment="1">
      <alignment horizontal="center" vertical="center"/>
    </xf>
    <xf numFmtId="0" fontId="50" fillId="52" borderId="0" xfId="0" applyFont="1" applyFill="1" applyAlignment="1">
      <alignment horizontal="center" vertical="center"/>
    </xf>
    <xf numFmtId="0" fontId="50" fillId="53" borderId="55" xfId="0" applyFont="1" applyFill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51" fillId="54" borderId="0" xfId="0" applyFont="1" applyFill="1" applyAlignment="1">
      <alignment wrapText="1"/>
    </xf>
    <xf numFmtId="0" fontId="51" fillId="47" borderId="0" xfId="0" applyFont="1" applyFill="1" applyAlignment="1">
      <alignment wrapText="1"/>
    </xf>
    <xf numFmtId="0" fontId="51" fillId="54" borderId="0" xfId="0" applyFont="1" applyFill="1"/>
    <xf numFmtId="0" fontId="53" fillId="0" borderId="0" xfId="0" applyFont="1" applyAlignment="1">
      <alignment horizontal="center"/>
    </xf>
    <xf numFmtId="0" fontId="53" fillId="55" borderId="56" xfId="0" applyFont="1" applyFill="1" applyBorder="1" applyAlignment="1">
      <alignment horizontal="center"/>
    </xf>
    <xf numFmtId="0" fontId="54" fillId="0" borderId="0" xfId="0" applyFont="1" applyAlignment="1">
      <alignment horizontal="center"/>
    </xf>
    <xf numFmtId="0" fontId="52" fillId="50" borderId="0" xfId="0" applyFont="1" applyFill="1" applyAlignment="1">
      <alignment horizontal="center"/>
    </xf>
    <xf numFmtId="0" fontId="54" fillId="39" borderId="57" xfId="0" applyFont="1" applyFill="1" applyBorder="1"/>
    <xf numFmtId="0" fontId="54" fillId="38" borderId="39" xfId="0" applyFont="1" applyFill="1" applyBorder="1"/>
    <xf numFmtId="0" fontId="54" fillId="56" borderId="58" xfId="0" applyFont="1" applyFill="1" applyBorder="1" applyAlignment="1">
      <alignment horizontal="center"/>
    </xf>
    <xf numFmtId="0" fontId="51" fillId="0" borderId="0" xfId="0" applyFont="1" applyAlignment="1">
      <alignment horizontal="center"/>
    </xf>
    <xf numFmtId="0" fontId="53" fillId="55" borderId="58" xfId="0" applyFont="1" applyFill="1" applyBorder="1" applyAlignment="1">
      <alignment horizontal="center"/>
    </xf>
    <xf numFmtId="0" fontId="53" fillId="55" borderId="59" xfId="0" applyFont="1" applyFill="1" applyBorder="1" applyAlignment="1">
      <alignment horizontal="center"/>
    </xf>
    <xf numFmtId="20" fontId="52" fillId="50" borderId="0" xfId="0" applyNumberFormat="1" applyFont="1" applyFill="1" applyAlignment="1">
      <alignment horizontal="center"/>
    </xf>
    <xf numFmtId="0" fontId="55" fillId="0" borderId="0" xfId="0" applyFont="1" applyAlignment="1">
      <alignment horizontal="center"/>
    </xf>
    <xf numFmtId="0" fontId="53" fillId="55" borderId="60" xfId="0" applyFont="1" applyFill="1" applyBorder="1" applyAlignment="1">
      <alignment horizontal="center"/>
    </xf>
    <xf numFmtId="0" fontId="51" fillId="57" borderId="0" xfId="0" applyFont="1" applyFill="1" applyAlignment="1">
      <alignment horizontal="center" vertical="center"/>
    </xf>
    <xf numFmtId="0" fontId="51" fillId="57" borderId="59" xfId="0" applyFont="1" applyFill="1" applyBorder="1" applyAlignment="1">
      <alignment horizontal="center" vertical="center"/>
    </xf>
    <xf numFmtId="0" fontId="54" fillId="57" borderId="57" xfId="0" applyFont="1" applyFill="1" applyBorder="1" applyAlignment="1">
      <alignment vertical="center"/>
    </xf>
    <xf numFmtId="0" fontId="51" fillId="57" borderId="58" xfId="0" applyFont="1" applyFill="1" applyBorder="1" applyAlignment="1">
      <alignment horizontal="center" vertical="center"/>
    </xf>
    <xf numFmtId="0" fontId="51" fillId="58" borderId="0" xfId="0" applyFont="1" applyFill="1" applyAlignment="1">
      <alignment vertical="center"/>
    </xf>
    <xf numFmtId="0" fontId="51" fillId="47" borderId="0" xfId="0" applyFont="1" applyFill="1"/>
    <xf numFmtId="0" fontId="54" fillId="56" borderId="56" xfId="0" applyFont="1" applyFill="1" applyBorder="1" applyAlignment="1">
      <alignment horizontal="center"/>
    </xf>
    <xf numFmtId="0" fontId="54" fillId="56" borderId="60" xfId="0" applyFont="1" applyFill="1" applyBorder="1" applyAlignment="1">
      <alignment horizontal="center"/>
    </xf>
    <xf numFmtId="0" fontId="54" fillId="56" borderId="59" xfId="0" applyFont="1" applyFill="1" applyBorder="1" applyAlignment="1">
      <alignment horizontal="center"/>
    </xf>
    <xf numFmtId="0" fontId="54" fillId="57" borderId="0" xfId="0" applyFont="1" applyFill="1" applyAlignment="1">
      <alignment vertical="center"/>
    </xf>
    <xf numFmtId="0" fontId="32" fillId="45" borderId="28" xfId="0" applyFont="1" applyFill="1" applyBorder="1" applyAlignment="1">
      <alignment horizontal="center"/>
    </xf>
    <xf numFmtId="0" fontId="32" fillId="45" borderId="0" xfId="0" applyFont="1" applyFill="1" applyAlignment="1">
      <alignment horizontal="center"/>
    </xf>
    <xf numFmtId="0" fontId="32" fillId="45" borderId="29" xfId="0" applyFont="1" applyFill="1" applyBorder="1" applyAlignment="1">
      <alignment horizontal="center"/>
    </xf>
    <xf numFmtId="0" fontId="46" fillId="0" borderId="0" xfId="0" applyFont="1" applyAlignment="1">
      <alignment horizontal="center" wrapText="1"/>
    </xf>
    <xf numFmtId="0" fontId="47" fillId="0" borderId="0" xfId="0" applyFont="1" applyAlignment="1">
      <alignment horizontal="center"/>
    </xf>
    <xf numFmtId="0" fontId="30" fillId="0" borderId="0" xfId="0" applyFont="1" applyBorder="1"/>
    <xf numFmtId="0" fontId="29" fillId="0" borderId="0" xfId="0" applyFont="1" applyBorder="1" applyAlignment="1">
      <alignment horizontal="center"/>
    </xf>
    <xf numFmtId="0" fontId="49" fillId="0" borderId="29" xfId="0" applyFont="1" applyBorder="1" applyAlignment="1">
      <alignment horizontal="center"/>
    </xf>
    <xf numFmtId="0" fontId="39" fillId="0" borderId="0" xfId="0" applyFont="1" applyBorder="1" applyAlignment="1">
      <alignment horizontal="center"/>
    </xf>
    <xf numFmtId="0" fontId="39" fillId="42" borderId="0" xfId="0" applyFont="1" applyFill="1" applyBorder="1" applyAlignment="1">
      <alignment horizontal="center"/>
    </xf>
    <xf numFmtId="20" fontId="39" fillId="0" borderId="0" xfId="0" applyNumberFormat="1" applyFont="1" applyBorder="1" applyAlignment="1">
      <alignment horizontal="center"/>
    </xf>
    <xf numFmtId="0" fontId="56" fillId="42" borderId="0" xfId="0" applyFont="1" applyFill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4">
    <dxf>
      <font>
        <color rgb="FFC00000"/>
      </font>
      <fill>
        <patternFill patternType="solid">
          <bgColor theme="8" tint="0.79998168889431442"/>
        </patternFill>
      </fill>
    </dxf>
    <dxf>
      <fill>
        <patternFill>
          <bgColor rgb="FFC00000"/>
        </patternFill>
      </fill>
    </dxf>
    <dxf>
      <font>
        <color rgb="FFC00000"/>
      </font>
      <fill>
        <patternFill patternType="solid">
          <bgColor theme="8" tint="0.79998168889431442"/>
        </patternFill>
      </fill>
    </dxf>
    <dxf>
      <fill>
        <patternFill patternType="solid">
          <bgColor theme="7" tint="-0.249977111117893"/>
        </patternFill>
      </fill>
    </dxf>
    <dxf>
      <fill>
        <patternFill patternType="solid">
          <bgColor theme="9" tint="0.39997558519241921"/>
        </patternFill>
      </fill>
    </dxf>
    <dxf>
      <font>
        <b val="0"/>
        <i/>
      </font>
    </dxf>
    <dxf>
      <font>
        <b val="0"/>
        <i/>
      </font>
      <fill>
        <patternFill patternType="solid">
          <bgColor rgb="FFE8BEBE"/>
        </patternFill>
      </fill>
    </dxf>
    <dxf>
      <font>
        <color rgb="FF161616"/>
      </font>
      <fill>
        <patternFill patternType="solid">
          <bgColor theme="4" tint="0.39994506668294322"/>
        </patternFill>
      </fill>
    </dxf>
    <dxf>
      <fill>
        <patternFill patternType="solid">
          <fgColor rgb="FFDDEBF7"/>
          <bgColor rgb="FF000000"/>
        </patternFill>
      </fill>
    </dxf>
    <dxf>
      <fill>
        <patternFill patternType="solid">
          <fgColor rgb="FFA9D08E"/>
          <bgColor rgb="FF000000"/>
        </patternFill>
      </fill>
    </dxf>
    <dxf>
      <fill>
        <patternFill patternType="solid">
          <fgColor rgb="FFBF8F00"/>
          <bgColor rgb="FF000000"/>
        </patternFill>
      </fill>
    </dxf>
    <dxf>
      <fill>
        <patternFill patternType="solid">
          <fgColor rgb="FFE7E6E6"/>
          <bgColor rgb="FF000000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13" formatCode="0%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[$-409]h:mm\ AM/PM;@"/>
      <alignment horizontal="center" vertical="bottom" textRotation="0" wrapText="0" indent="0" justifyLastLine="0" shrinkToFit="0" readingOrder="0"/>
    </dxf>
    <dxf>
      <numFmt numFmtId="165" formatCode="[$-409]h:mm\ AM/PM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z val="18"/>
      </font>
      <numFmt numFmtId="13" formatCode="0%"/>
    </dxf>
    <dxf>
      <font>
        <sz val="16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z val="18"/>
      </font>
    </dxf>
    <dxf>
      <font>
        <sz val="18"/>
      </font>
    </dxf>
    <dxf>
      <font>
        <sz val="20"/>
      </font>
      <numFmt numFmtId="0" formatCode="General"/>
      <alignment horizontal="center"/>
    </dxf>
    <dxf>
      <font>
        <sz val="20"/>
      </font>
      <alignment horizontal="center"/>
    </dxf>
    <dxf>
      <font>
        <sz val="20"/>
      </font>
      <alignment horizontal="center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rgb="FF000000"/>
        <name val="Calibri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z val="20"/>
        <family val="2"/>
      </font>
      <alignment horizontal="center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rgb="FFC00000"/>
          <bgColor rgb="FF000000"/>
        </patternFill>
      </fill>
    </dxf>
  </dxfs>
  <tableStyles count="0" defaultTableStyle="TableStyleMedium2" defaultPivotStyle="PivotStyleLight16"/>
  <colors>
    <mruColors>
      <color rgb="FFE8BEBE"/>
      <color rgb="FFE7DAF2"/>
      <color rgb="FFC6AAE3"/>
      <color rgb="FFC6A5D9"/>
      <color rgb="FFFFCCCC"/>
      <color rgb="FFFF9999"/>
      <color rgb="FFFF6699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203764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Client-in</a:t>
            </a:r>
            <a:r>
              <a:rPr lang="en-US" baseline="0"/>
              <a:t>-Office </a:t>
            </a:r>
            <a:r>
              <a:rPr lang="en-US"/>
              <a:t>Frequency</a:t>
            </a:r>
          </a:p>
        </c:rich>
      </c:tx>
      <c:layout>
        <c:manualLayout>
          <c:xMode val="edge"/>
          <c:yMode val="edge"/>
          <c:x val="0.52575110981497686"/>
          <c:y val="4.1252039441015818E-2"/>
        </c:manualLayout>
      </c:layout>
      <c:overlay val="0"/>
      <c:spPr>
        <a:solidFill>
          <a:srgbClr val="D9E1F2"/>
        </a:solidFill>
        <a:ln>
          <a:solidFill>
            <a:srgbClr val="C6E0B4"/>
          </a:solidFill>
          <a:prstDash val="solid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1" u="none" strike="noStrike" kern="1200" spc="0" baseline="0">
              <a:solidFill>
                <a:srgbClr val="203764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Analytics!$Q$2</c:f>
              <c:strCache>
                <c:ptCount val="1"/>
                <c:pt idx="0">
                  <c:v># of CIO's</c:v>
                </c:pt>
              </c:strCache>
            </c:strRef>
          </c:tx>
          <c:spPr>
            <a:solidFill>
              <a:srgbClr val="1F4E78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rgbClr val="C00000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Analytics!$P$3:$P$11</c:f>
              <c:strCache>
                <c:ptCount val="9"/>
                <c:pt idx="0">
                  <c:v>8-9 AM</c:v>
                </c:pt>
                <c:pt idx="1">
                  <c:v>9-10 AM</c:v>
                </c:pt>
                <c:pt idx="2">
                  <c:v>10-11 AM</c:v>
                </c:pt>
                <c:pt idx="3">
                  <c:v>11-12 AM</c:v>
                </c:pt>
                <c:pt idx="4">
                  <c:v>12-1 PM</c:v>
                </c:pt>
                <c:pt idx="5">
                  <c:v>1-2 PM</c:v>
                </c:pt>
                <c:pt idx="6">
                  <c:v>2-3 PM</c:v>
                </c:pt>
                <c:pt idx="7">
                  <c:v>3-4 PM</c:v>
                </c:pt>
                <c:pt idx="8">
                  <c:v>4-5 PM</c:v>
                </c:pt>
              </c:strCache>
            </c:strRef>
          </c:cat>
          <c:val>
            <c:numRef>
              <c:f>Analytics!$Q$3:$Q$11</c:f>
              <c:numCache>
                <c:formatCode>General</c:formatCode>
                <c:ptCount val="9"/>
                <c:pt idx="0">
                  <c:v>21</c:v>
                </c:pt>
                <c:pt idx="1">
                  <c:v>23</c:v>
                </c:pt>
                <c:pt idx="2">
                  <c:v>14</c:v>
                </c:pt>
                <c:pt idx="3">
                  <c:v>14</c:v>
                </c:pt>
                <c:pt idx="4">
                  <c:v>16</c:v>
                </c:pt>
                <c:pt idx="5">
                  <c:v>18</c:v>
                </c:pt>
                <c:pt idx="6">
                  <c:v>15</c:v>
                </c:pt>
                <c:pt idx="7">
                  <c:v>14</c:v>
                </c:pt>
                <c:pt idx="8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54E-42E6-B423-99C2F42D53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6"/>
        <c:overlap val="-27"/>
        <c:axId val="833670632"/>
        <c:axId val="833663192"/>
      </c:barChart>
      <c:catAx>
        <c:axId val="833670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solidFill>
            <a:srgbClr val="FFFFFF"/>
          </a:solidFill>
          <a:ln w="9525" cap="flat" cmpd="sng" algn="ctr">
            <a:solidFill>
              <a:srgbClr val="D0CECE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3663192"/>
        <c:crosses val="autoZero"/>
        <c:auto val="1"/>
        <c:lblAlgn val="ctr"/>
        <c:lblOffset val="100"/>
        <c:noMultiLvlLbl val="0"/>
      </c:catAx>
      <c:valAx>
        <c:axId val="833663192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crossAx val="833670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209550</xdr:colOff>
      <xdr:row>0</xdr:row>
      <xdr:rowOff>161925</xdr:rowOff>
    </xdr:from>
    <xdr:to>
      <xdr:col>14</xdr:col>
      <xdr:colOff>114300</xdr:colOff>
      <xdr:row>11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2CC7733-1936-9435-8262-E4F523281C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039A7F-2930-44D2-BBF8-1017B8AF727F}" name="Table1" displayName="Table1" ref="B2:E4" totalsRowShown="0" headerRowDxfId="42" dataDxfId="41">
  <autoFilter ref="B2:E4" xr:uid="{E3039A7F-2930-44D2-BBF8-1017B8AF727F}">
    <filterColumn colId="0" hiddenButton="1"/>
    <filterColumn colId="1" hiddenButton="1"/>
    <filterColumn colId="2" hiddenButton="1"/>
    <filterColumn colId="3" hiddenButton="1"/>
  </autoFilter>
  <tableColumns count="4">
    <tableColumn id="1" xr3:uid="{DB53008F-F65C-49D4-A01D-538CEBE185E9}" name="Total CIO's today" dataDxfId="40">
      <calculatedColumnFormula>C3+D3+E3</calculatedColumnFormula>
    </tableColumn>
    <tableColumn id="2" xr3:uid="{CBF93E0B-7CDC-4369-9BD0-2C2BE27AA9F3}" name="English CIO's" dataDxfId="39">
      <calculatedColumnFormula>C2/B2</calculatedColumnFormula>
    </tableColumn>
    <tableColumn id="3" xr3:uid="{F59E24F0-73F3-4EEE-A316-0EFCED1CD49B}" name="Spanish CIO's" dataDxfId="38">
      <calculatedColumnFormula>D2/B2</calculatedColumnFormula>
    </tableColumn>
    <tableColumn id="4" xr3:uid="{7D2BBBD7-9256-4F69-96C3-75FA8BD50476}" name="Other lang. CIO's" dataDxfId="37">
      <calculatedColumnFormula>SUM(SUMIF('Daily CIO'!D:D,"English/Viet", 'Daily CIO'!H:H), SUMIF('Daily CIO'!D:D, "English/Farsi",'Daily CIO'!H:H)*1)</calculatedColumnFormula>
    </tableColumn>
  </tableColumns>
  <tableStyleInfo name="TableStyleMedium1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C4BFE07-9D97-4B77-AC1C-65438AAD6B65}" name="Table3" displayName="Table3" ref="B8:D9" headerRowCount="0" totalsRowShown="0" headerRowDxfId="36" dataDxfId="35">
  <tableColumns count="3">
    <tableColumn id="1" xr3:uid="{3E5E1492-4C04-4C56-AEB4-2E4B7DE4B1CB}" name="Column1" headerRowDxfId="34" dataDxfId="33"/>
    <tableColumn id="2" xr3:uid="{4E216C28-0ECF-4486-8E9E-B8E0A9BFE10F}" name="Column2" headerRowDxfId="32" dataDxfId="31"/>
    <tableColumn id="5" xr3:uid="{37C17246-F127-4B49-AEFA-C8A0F23196BC}" name="Column3" headerRowDxfId="30" dataDxfId="29">
      <calculatedColumnFormula>C8/B2</calculatedColumnFormula>
    </tableColumn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A8AFF27-0F24-4F59-8617-91393467A702}" name="Table4" displayName="Table4" ref="B13:C15" headerRowCount="0" totalsRowShown="0">
  <tableColumns count="2">
    <tableColumn id="1" xr3:uid="{483EBA8E-5327-42F0-9F7E-F65680C12AD3}" name="Column1" headerRowDxfId="28" dataDxfId="27"/>
    <tableColumn id="2" xr3:uid="{23957F80-6D75-402C-ABF3-371F164BA460}" name="Column2" headerRowDxfId="26" dataDxfId="25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6EF9726-7396-47E3-AEFE-B6E1F6113147}" name="Table6" displayName="Table6" ref="P2:Q12" totalsRowCount="1" headerRowDxfId="24" dataDxfId="23">
  <autoFilter ref="P2:Q11" xr:uid="{F6EF9726-7396-47E3-AEFE-B6E1F6113147}">
    <filterColumn colId="0" hiddenButton="1"/>
    <filterColumn colId="1" hiddenButton="1"/>
  </autoFilter>
  <tableColumns count="2">
    <tableColumn id="1" xr3:uid="{878D705A-0C28-4BFB-B2A4-508D8E5CBE7F}" name="Time" totalsRowLabel="Total" dataDxfId="22" totalsRowDxfId="21"/>
    <tableColumn id="2" xr3:uid="{4401151C-211C-4B34-B89A-B91F030F3F66}" name="# of CIO's" totalsRowFunction="sum" dataDxfId="20" totalsRowDxfId="19">
      <calculatedColumnFormula>'pending data table'!U5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776C024-660B-4F5E-AF25-BAF8E7001541}" name="Table2" displayName="Table2" ref="S4:V13" totalsRowShown="0" headerRowDxfId="18">
  <autoFilter ref="S4:V13" xr:uid="{F776C024-660B-4F5E-AF25-BAF8E7001541}">
    <filterColumn colId="0" hiddenButton="1"/>
    <filterColumn colId="1" hiddenButton="1"/>
    <filterColumn colId="2" hiddenButton="1"/>
    <filterColumn colId="3" hiddenButton="1"/>
  </autoFilter>
  <tableColumns count="4">
    <tableColumn id="1" xr3:uid="{C6E1DEEB-1C61-4D0E-825C-096E37D8D01D}" name="Time" dataDxfId="17"/>
    <tableColumn id="2" xr3:uid="{5FE8D1B1-079D-4917-95B2-47EBB98838AD}" name="Time2" dataDxfId="16"/>
    <tableColumn id="3" xr3:uid="{83990304-DD47-46D4-B7AF-5BF1F75BD0EB}" name="# of CIO's" dataDxfId="15">
      <calculatedColumnFormula>'pending data table'!L6+'pending data table'!Q6</calculatedColumnFormula>
    </tableColumn>
    <tableColumn id="4" xr3:uid="{FED2A134-90FF-4FC3-BAD4-864F0AE03A1D}" name="Percent" dataDxfId="14">
      <calculatedColumnFormula>U5*0.01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7" tint="0.79998168889431442"/>
  </sheetPr>
  <dimension ref="A1:O294"/>
  <sheetViews>
    <sheetView showGridLines="0" tabSelected="1" zoomScaleNormal="100" workbookViewId="0">
      <pane ySplit="1" topLeftCell="A26" activePane="bottomLeft" state="frozen"/>
      <selection pane="bottomLeft" activeCell="F34" sqref="F34"/>
    </sheetView>
  </sheetViews>
  <sheetFormatPr defaultColWidth="11.140625" defaultRowHeight="18.75" customHeight="1" x14ac:dyDescent="0.3"/>
  <cols>
    <col min="1" max="1" width="33.140625" style="13" customWidth="1"/>
    <col min="2" max="2" width="28.85546875" style="14" customWidth="1"/>
    <col min="3" max="3" width="13" style="15" customWidth="1"/>
    <col min="4" max="4" width="15.5703125" style="15" customWidth="1"/>
    <col min="5" max="5" width="12" customWidth="1"/>
    <col min="6" max="6" width="34.5703125" customWidth="1"/>
    <col min="7" max="7" width="10.42578125" style="25" customWidth="1"/>
    <col min="8" max="8" width="13.7109375" style="12" customWidth="1"/>
    <col min="9" max="13" width="7.7109375" style="12" customWidth="1"/>
    <col min="14" max="14" width="6.5703125" style="12" customWidth="1"/>
    <col min="15" max="15" width="6.7109375" customWidth="1"/>
  </cols>
  <sheetData>
    <row r="1" spans="1:15" s="12" customFormat="1" ht="23.1" customHeight="1" x14ac:dyDescent="0.25">
      <c r="A1" s="85" t="s">
        <v>0</v>
      </c>
      <c r="B1" s="9" t="s">
        <v>1</v>
      </c>
      <c r="C1" s="7" t="s">
        <v>2</v>
      </c>
      <c r="D1" s="9" t="s">
        <v>3</v>
      </c>
      <c r="E1" s="10" t="s">
        <v>4</v>
      </c>
      <c r="F1" s="11" t="s">
        <v>5</v>
      </c>
      <c r="G1" s="118" t="s">
        <v>1182</v>
      </c>
      <c r="H1" s="94" t="s">
        <v>6</v>
      </c>
      <c r="I1" s="171" t="s">
        <v>7</v>
      </c>
      <c r="J1" s="172"/>
      <c r="K1" s="172"/>
      <c r="L1" s="172"/>
      <c r="M1" s="173"/>
      <c r="N1" s="105"/>
    </row>
    <row r="2" spans="1:15" s="12" customFormat="1" x14ac:dyDescent="0.3">
      <c r="A2" s="86" t="s">
        <v>46</v>
      </c>
      <c r="B2" s="119" t="str">
        <f>VLOOKUP(A2, 'WMS Attendance'!B:G, 2, FALSE)</f>
        <v>30LS035K0I (Restricted)</v>
      </c>
      <c r="C2" s="182" t="s">
        <v>47</v>
      </c>
      <c r="D2" s="108" t="s">
        <v>10</v>
      </c>
      <c r="E2" s="22" t="str">
        <f>VLOOKUP(A2,'WMS Attendance'!B:G,6, FALSE)</f>
        <v>IN</v>
      </c>
      <c r="F2" s="23" t="str">
        <f>IF(ISBLANK(VLOOKUP(A2, 'WMS Attendance'!B:G, 5, FALSE)), "", VLOOKUP(A2, 'WMS Attendance'!B:G, 5, FALSE))</f>
        <v/>
      </c>
      <c r="H2" s="95">
        <v>2</v>
      </c>
      <c r="I2" s="103">
        <v>0.39930555555555558</v>
      </c>
      <c r="J2" s="102">
        <v>0.1763888888888889</v>
      </c>
      <c r="K2" s="98"/>
      <c r="L2" s="99"/>
      <c r="M2" s="96"/>
      <c r="N2" s="105"/>
      <c r="O2"/>
    </row>
    <row r="3" spans="1:15" x14ac:dyDescent="0.3">
      <c r="A3" s="86" t="s">
        <v>48</v>
      </c>
      <c r="B3" s="119" t="str">
        <f>VLOOKUP(A3, 'WMS Attendance'!B:G, 2, FALSE)</f>
        <v>30LS035K0H (Restricted)</v>
      </c>
      <c r="C3" s="182" t="s">
        <v>47</v>
      </c>
      <c r="D3" s="108" t="s">
        <v>10</v>
      </c>
      <c r="E3" s="22" t="str">
        <f>VLOOKUP(A3,'WMS Attendance'!B:G,6, FALSE)</f>
        <v>IN</v>
      </c>
      <c r="F3" s="23" t="str">
        <f>IF(ISBLANK(VLOOKUP(A3, 'WMS Attendance'!B:G, 5, FALSE)), "", VLOOKUP(A3, 'WMS Attendance'!B:G, 5, FALSE))</f>
        <v/>
      </c>
      <c r="H3" s="98">
        <v>2</v>
      </c>
      <c r="I3" s="102">
        <v>0.39861111111111108</v>
      </c>
      <c r="J3" s="102">
        <v>0.16250000000000001</v>
      </c>
      <c r="K3" s="97"/>
      <c r="L3" s="99"/>
      <c r="M3" s="101"/>
      <c r="N3" s="105"/>
    </row>
    <row r="4" spans="1:15" x14ac:dyDescent="0.3">
      <c r="A4" s="86" t="s">
        <v>49</v>
      </c>
      <c r="B4" s="119" t="str">
        <f>VLOOKUP(A4, 'WMS Attendance'!B:G, 2, FALSE)</f>
        <v>30LS035K10 (Restricted)</v>
      </c>
      <c r="C4" s="182" t="s">
        <v>47</v>
      </c>
      <c r="D4" s="108" t="s">
        <v>10</v>
      </c>
      <c r="E4" s="22" t="str">
        <f>VLOOKUP(A4,'WMS Attendance'!B:G,6, FALSE)</f>
        <v>IN</v>
      </c>
      <c r="F4" s="23" t="str">
        <f>IF(ISBLANK(VLOOKUP(A4, 'WMS Attendance'!B:G, 5, FALSE)), "", VLOOKUP(A4, 'WMS Attendance'!B:G, 5, FALSE))</f>
        <v/>
      </c>
      <c r="H4" s="98">
        <v>2</v>
      </c>
      <c r="I4" s="103">
        <v>0.38958333333333334</v>
      </c>
      <c r="J4" s="102">
        <v>0.16041666666666668</v>
      </c>
      <c r="K4" s="97"/>
      <c r="L4" s="99"/>
      <c r="M4" s="101"/>
      <c r="N4" s="105"/>
    </row>
    <row r="5" spans="1:15" x14ac:dyDescent="0.3">
      <c r="A5" s="86" t="s">
        <v>50</v>
      </c>
      <c r="B5" s="119" t="str">
        <f>VLOOKUP(A5, 'WMS Attendance'!B:G, 2, FALSE)</f>
        <v>30LS035K0L (Restricted)</v>
      </c>
      <c r="C5" s="182" t="s">
        <v>47</v>
      </c>
      <c r="D5" s="108" t="s">
        <v>10</v>
      </c>
      <c r="E5" s="22" t="str">
        <f>VLOOKUP(A5,'WMS Attendance'!B:G,6, FALSE)</f>
        <v>IN</v>
      </c>
      <c r="F5" s="23" t="str">
        <f>IF(ISBLANK(VLOOKUP(A5, 'WMS Attendance'!B:G, 5, FALSE)), "", VLOOKUP(A5, 'WMS Attendance'!B:G, 5, FALSE))</f>
        <v/>
      </c>
      <c r="H5" s="98">
        <v>2</v>
      </c>
      <c r="I5" s="103">
        <v>0.38680555555555557</v>
      </c>
      <c r="J5" s="102">
        <v>0.15347222222222223</v>
      </c>
      <c r="K5" s="97"/>
      <c r="L5" s="99"/>
      <c r="M5" s="101"/>
      <c r="N5" s="105"/>
    </row>
    <row r="6" spans="1:15" x14ac:dyDescent="0.3">
      <c r="A6" s="86" t="s">
        <v>51</v>
      </c>
      <c r="B6" s="119" t="str">
        <f>VLOOKUP(A6, 'WMS Attendance'!B:G, 2, FALSE)</f>
        <v>30LS035K0M (Restricted)</v>
      </c>
      <c r="C6" s="182" t="s">
        <v>47</v>
      </c>
      <c r="D6" s="108" t="s">
        <v>10</v>
      </c>
      <c r="E6" s="22" t="str">
        <f>VLOOKUP(A6,'WMS Attendance'!B:G,6, FALSE)</f>
        <v>IN</v>
      </c>
      <c r="F6" s="23" t="str">
        <f>IF(ISBLANK(VLOOKUP(A6, 'WMS Attendance'!B:G, 5, FALSE)), "", VLOOKUP(A6, 'WMS Attendance'!B:G, 5, FALSE))</f>
        <v/>
      </c>
      <c r="H6" s="98">
        <v>2</v>
      </c>
      <c r="I6" s="102">
        <v>0.38472222222222219</v>
      </c>
      <c r="J6" s="102">
        <v>0.10277777777777779</v>
      </c>
      <c r="K6" s="97"/>
      <c r="L6" s="99"/>
      <c r="M6" s="101"/>
      <c r="N6" s="105"/>
    </row>
    <row r="7" spans="1:15" x14ac:dyDescent="0.3">
      <c r="A7" s="86" t="s">
        <v>52</v>
      </c>
      <c r="B7" s="119" t="str">
        <f>VLOOKUP(A7, 'WMS Attendance'!B:G, 2, FALSE)</f>
        <v>30LS035K0X (Restricted)</v>
      </c>
      <c r="C7" s="182" t="s">
        <v>47</v>
      </c>
      <c r="D7" s="108" t="s">
        <v>10</v>
      </c>
      <c r="E7" s="22" t="str">
        <f>VLOOKUP(A7,'WMS Attendance'!B:G,6, FALSE)</f>
        <v>IN</v>
      </c>
      <c r="F7" s="23" t="str">
        <f>IF(ISBLANK(VLOOKUP(A7, 'WMS Attendance'!B:G, 5, FALSE)), "", VLOOKUP(A7, 'WMS Attendance'!B:G, 5, FALSE))</f>
        <v/>
      </c>
      <c r="H7" s="98">
        <v>2</v>
      </c>
      <c r="I7" s="102">
        <v>0.38125000000000003</v>
      </c>
      <c r="J7" s="102">
        <v>9.7222222222222224E-2</v>
      </c>
      <c r="K7" s="97"/>
      <c r="L7" s="99"/>
      <c r="M7" s="101"/>
      <c r="N7" s="105"/>
    </row>
    <row r="8" spans="1:15" x14ac:dyDescent="0.3">
      <c r="A8" s="86" t="s">
        <v>53</v>
      </c>
      <c r="B8" s="119" t="str">
        <f>VLOOKUP(A8, 'WMS Attendance'!B:G, 2, FALSE)</f>
        <v>30LS035K0T</v>
      </c>
      <c r="C8" s="182" t="s">
        <v>47</v>
      </c>
      <c r="D8" s="108" t="s">
        <v>10</v>
      </c>
      <c r="E8" s="22" t="str">
        <f>VLOOKUP(A8,'WMS Attendance'!B:G,6, FALSE)</f>
        <v>IN</v>
      </c>
      <c r="F8" s="23" t="str">
        <f>IF(ISBLANK(VLOOKUP(A8, 'WMS Attendance'!B:G, 5, FALSE)), "", VLOOKUP(A8, 'WMS Attendance'!B:G, 5, FALSE))</f>
        <v/>
      </c>
      <c r="H8" s="98">
        <v>2</v>
      </c>
      <c r="I8" s="102">
        <v>0.38055555555555554</v>
      </c>
      <c r="J8" s="102">
        <v>9.5138888888888884E-2</v>
      </c>
      <c r="K8" s="97"/>
      <c r="L8" s="99"/>
      <c r="M8" s="101"/>
      <c r="N8" s="105"/>
    </row>
    <row r="9" spans="1:15" x14ac:dyDescent="0.3">
      <c r="A9" s="86" t="s">
        <v>54</v>
      </c>
      <c r="B9" s="119" t="str">
        <f>VLOOKUP(A9, 'WMS Attendance'!B:G, 2, FALSE)</f>
        <v>30LS035K11 (Restricted)</v>
      </c>
      <c r="C9" s="182" t="s">
        <v>47</v>
      </c>
      <c r="D9" s="108" t="s">
        <v>10</v>
      </c>
      <c r="E9" s="22" t="str">
        <f>VLOOKUP(A9,'WMS Attendance'!B:G,6, FALSE)</f>
        <v>IN</v>
      </c>
      <c r="F9" s="23" t="str">
        <f>IF(ISBLANK(VLOOKUP(A9, 'WMS Attendance'!B:G, 5, FALSE)), "", VLOOKUP(A9, 'WMS Attendance'!B:G, 5, FALSE))</f>
        <v/>
      </c>
      <c r="H9" s="98">
        <v>2</v>
      </c>
      <c r="I9" s="102">
        <v>0.37986111111111115</v>
      </c>
      <c r="J9" s="102">
        <v>9.4444444444444442E-2</v>
      </c>
      <c r="K9" s="97"/>
      <c r="L9" s="99"/>
      <c r="M9" s="101"/>
      <c r="N9" s="105"/>
    </row>
    <row r="10" spans="1:15" x14ac:dyDescent="0.3">
      <c r="A10" s="86" t="s">
        <v>55</v>
      </c>
      <c r="B10" s="119" t="str">
        <f>VLOOKUP(A10, 'WMS Attendance'!B:G, 2, FALSE)</f>
        <v>30LS035K0O (Restricted)</v>
      </c>
      <c r="C10" s="182" t="s">
        <v>47</v>
      </c>
      <c r="D10" s="108" t="s">
        <v>10</v>
      </c>
      <c r="E10" s="22" t="str">
        <f>VLOOKUP(A10,'WMS Attendance'!B:G,6, FALSE)</f>
        <v>IN</v>
      </c>
      <c r="F10" s="23" t="str">
        <f>IF(ISBLANK(VLOOKUP(A10, 'WMS Attendance'!B:G, 5, FALSE)), "", VLOOKUP(A10, 'WMS Attendance'!B:G, 5, FALSE))</f>
        <v/>
      </c>
      <c r="H10" s="98">
        <v>2</v>
      </c>
      <c r="I10" s="103">
        <v>0.37777777777777777</v>
      </c>
      <c r="J10" s="102">
        <v>4.2361111111111106E-2</v>
      </c>
      <c r="K10" s="97"/>
      <c r="L10" s="99"/>
      <c r="M10" s="101"/>
      <c r="N10" s="105"/>
    </row>
    <row r="11" spans="1:15" x14ac:dyDescent="0.3">
      <c r="A11" s="86" t="s">
        <v>56</v>
      </c>
      <c r="B11" s="119" t="str">
        <f>VLOOKUP(A11, 'WMS Attendance'!B:G, 2, FALSE)</f>
        <v>30LS035K0R (Restricted)</v>
      </c>
      <c r="C11" s="182" t="s">
        <v>47</v>
      </c>
      <c r="D11" s="108" t="s">
        <v>10</v>
      </c>
      <c r="E11" s="22" t="str">
        <f>VLOOKUP(A11,'WMS Attendance'!B:G,6, FALSE)</f>
        <v>IN</v>
      </c>
      <c r="F11" s="23" t="str">
        <f>IF(ISBLANK(VLOOKUP(A11, 'WMS Attendance'!B:G, 5, FALSE)), "", VLOOKUP(A11, 'WMS Attendance'!B:G, 5, FALSE))</f>
        <v/>
      </c>
      <c r="H11" s="98">
        <v>2</v>
      </c>
      <c r="I11" s="103">
        <v>0.37638888888888888</v>
      </c>
      <c r="J11" s="102">
        <v>0.5395833333333333</v>
      </c>
      <c r="K11" s="102"/>
      <c r="L11" s="99"/>
      <c r="M11" s="101"/>
      <c r="N11" s="105"/>
    </row>
    <row r="12" spans="1:15" x14ac:dyDescent="0.3">
      <c r="A12" s="86" t="s">
        <v>57</v>
      </c>
      <c r="B12" s="119" t="str">
        <f>VLOOKUP(A12, 'WMS Attendance'!B:G, 2, FALSE)</f>
        <v>30LS035K0Q (Restricted)</v>
      </c>
      <c r="C12" s="182" t="s">
        <v>47</v>
      </c>
      <c r="D12" s="108" t="s">
        <v>10</v>
      </c>
      <c r="E12" s="22" t="str">
        <f>VLOOKUP(A12,'WMS Attendance'!B:G,6, FALSE)</f>
        <v>IN</v>
      </c>
      <c r="F12" s="23" t="str">
        <f>IF(ISBLANK(VLOOKUP(A12, 'WMS Attendance'!B:G, 5, FALSE)), "", VLOOKUP(A12, 'WMS Attendance'!B:G, 5, FALSE))</f>
        <v/>
      </c>
      <c r="H12" s="98">
        <v>2</v>
      </c>
      <c r="I12" s="102">
        <v>0.39513888888888887</v>
      </c>
      <c r="J12" s="102">
        <v>8.4722222222222213E-2</v>
      </c>
      <c r="K12" s="97"/>
      <c r="L12" s="99"/>
      <c r="M12" s="101"/>
      <c r="N12" s="105"/>
    </row>
    <row r="13" spans="1:15" x14ac:dyDescent="0.3">
      <c r="A13" s="86" t="s">
        <v>58</v>
      </c>
      <c r="B13" s="119" t="str">
        <f>VLOOKUP(A13, 'WMS Attendance'!B:G, 2, FALSE)</f>
        <v>30LS035K0Y (Restricted)</v>
      </c>
      <c r="C13" s="182" t="s">
        <v>47</v>
      </c>
      <c r="D13" s="108" t="s">
        <v>10</v>
      </c>
      <c r="E13" s="22" t="str">
        <f>VLOOKUP(A13,'WMS Attendance'!B:G,6, FALSE)</f>
        <v>IN</v>
      </c>
      <c r="F13" s="23" t="str">
        <f>IF(ISBLANK(VLOOKUP(A13, 'WMS Attendance'!B:G, 5, FALSE)), "", VLOOKUP(A13, 'WMS Attendance'!B:G, 5, FALSE))</f>
        <v/>
      </c>
      <c r="H13" s="98">
        <v>2</v>
      </c>
      <c r="I13" s="102">
        <v>0.12152777777777778</v>
      </c>
      <c r="J13" s="102">
        <v>0.17361111111111113</v>
      </c>
      <c r="K13" s="97"/>
      <c r="L13" s="99"/>
      <c r="M13" s="101"/>
      <c r="N13" s="105"/>
    </row>
    <row r="14" spans="1:15" x14ac:dyDescent="0.3">
      <c r="A14" s="86" t="s">
        <v>59</v>
      </c>
      <c r="B14" s="119" t="str">
        <f>VLOOKUP(A14, 'WMS Attendance'!B:G, 2, FALSE)</f>
        <v>30LS035K0V (Restricted)</v>
      </c>
      <c r="C14" s="182" t="s">
        <v>47</v>
      </c>
      <c r="D14" s="108" t="s">
        <v>10</v>
      </c>
      <c r="E14" s="22" t="str">
        <f>VLOOKUP(A14,'WMS Attendance'!B:G,6, FALSE)</f>
        <v>IN</v>
      </c>
      <c r="F14" s="23" t="str">
        <f>IF(ISBLANK(VLOOKUP(A14, 'WMS Attendance'!B:G, 5, FALSE)), "", VLOOKUP(A14, 'WMS Attendance'!B:G, 5, FALSE))</f>
        <v>2 CIO's per day - Specialized ET</v>
      </c>
      <c r="H14" s="98">
        <v>2</v>
      </c>
      <c r="I14" s="103">
        <v>0.38611111111111113</v>
      </c>
      <c r="J14" s="102">
        <v>8.0555555555555561E-2</v>
      </c>
      <c r="K14" s="97"/>
      <c r="L14" s="99"/>
      <c r="M14" s="101"/>
      <c r="N14" s="105"/>
    </row>
    <row r="15" spans="1:15" x14ac:dyDescent="0.3">
      <c r="A15" s="86" t="s">
        <v>60</v>
      </c>
      <c r="B15" s="119" t="str">
        <f>VLOOKUP(A15, 'WMS Attendance'!B:G, 2, FALSE)</f>
        <v>30LS035K0S (Restricted)</v>
      </c>
      <c r="C15" s="182" t="s">
        <v>47</v>
      </c>
      <c r="D15" s="108" t="s">
        <v>10</v>
      </c>
      <c r="E15" s="22" t="str">
        <f>VLOOKUP(A15,'WMS Attendance'!B:G,6, FALSE)</f>
        <v>IN</v>
      </c>
      <c r="F15" s="23" t="str">
        <f>IF(ISBLANK(VLOOKUP(A15, 'WMS Attendance'!B:G, 5, FALSE)), "", VLOOKUP(A15, 'WMS Attendance'!B:G, 5, FALSE))</f>
        <v>2 CIO's per day - Specialized ET (CG)</v>
      </c>
      <c r="H15" s="98">
        <v>2</v>
      </c>
      <c r="I15" s="102">
        <v>0.36041666666666666</v>
      </c>
      <c r="J15" s="102">
        <v>0.51180555555555551</v>
      </c>
      <c r="K15" s="97"/>
      <c r="L15" s="111"/>
      <c r="M15" s="101"/>
      <c r="N15" s="105"/>
    </row>
    <row r="16" spans="1:15" x14ac:dyDescent="0.3">
      <c r="A16" s="86" t="s">
        <v>61</v>
      </c>
      <c r="B16" s="119" t="str">
        <f>VLOOKUP(A16, 'WMS Attendance'!B:G, 2, FALSE)</f>
        <v>30LS035K0W (Restricted)</v>
      </c>
      <c r="C16" s="182" t="s">
        <v>47</v>
      </c>
      <c r="D16" s="108" t="s">
        <v>10</v>
      </c>
      <c r="E16" s="22" t="str">
        <f>VLOOKUP(A16,'WMS Attendance'!B:G,6, FALSE)</f>
        <v>IN</v>
      </c>
      <c r="F16" s="23" t="str">
        <f>IF(ISBLANK(VLOOKUP(A16, 'WMS Attendance'!B:G, 5, FALSE)), "", VLOOKUP(A16, 'WMS Attendance'!B:G, 5, FALSE))</f>
        <v>2 CIOs per day - Specialized ET. VN</v>
      </c>
      <c r="H16" s="98">
        <v>2</v>
      </c>
      <c r="I16" s="102">
        <v>0.36041666666666666</v>
      </c>
      <c r="J16" s="102">
        <v>0.5083333333333333</v>
      </c>
      <c r="K16" s="97"/>
      <c r="L16" s="99"/>
      <c r="M16" s="101"/>
      <c r="N16" s="105"/>
    </row>
    <row r="17" spans="1:14" ht="17.45" customHeight="1" x14ac:dyDescent="0.3">
      <c r="A17" s="86" t="s">
        <v>62</v>
      </c>
      <c r="B17" s="119" t="str">
        <f>VLOOKUP(A17, 'WMS Attendance'!B:G, 2, FALSE)</f>
        <v>30LS035K0J (Restricted)</v>
      </c>
      <c r="C17" s="182" t="s">
        <v>47</v>
      </c>
      <c r="D17" s="108" t="s">
        <v>10</v>
      </c>
      <c r="E17" s="22" t="str">
        <f>VLOOKUP(A17,'WMS Attendance'!B:G,6, FALSE)</f>
        <v>IN</v>
      </c>
      <c r="F17" s="23" t="str">
        <f>IF(ISBLANK(VLOOKUP(A17, 'WMS Attendance'!B:G, 5, FALSE)), "", VLOOKUP(A17, 'WMS Attendance'!B:G, 5, FALSE))</f>
        <v>3 CIO's per day - Specialized ET - mc</v>
      </c>
      <c r="H17" s="98">
        <v>3</v>
      </c>
      <c r="I17" s="102">
        <v>0.34930555555555554</v>
      </c>
      <c r="J17" s="102">
        <v>0.48194444444444445</v>
      </c>
      <c r="K17" s="102">
        <v>0.54097222222222219</v>
      </c>
      <c r="L17" s="99"/>
      <c r="M17" s="101"/>
      <c r="N17" s="105"/>
    </row>
    <row r="18" spans="1:14" x14ac:dyDescent="0.3">
      <c r="A18" s="86" t="s">
        <v>63</v>
      </c>
      <c r="B18" s="119" t="str">
        <f>VLOOKUP(A18, 'WMS Attendance'!B:G, 2, FALSE)</f>
        <v>30LS035K0Z (Restricted)</v>
      </c>
      <c r="C18" s="182" t="s">
        <v>47</v>
      </c>
      <c r="D18" s="108" t="s">
        <v>10</v>
      </c>
      <c r="E18" s="22" t="str">
        <f>VLOOKUP(A18,'WMS Attendance'!B:G,6, FALSE)</f>
        <v>IN</v>
      </c>
      <c r="F18" s="23" t="str">
        <f>IF(ISBLANK(VLOOKUP(A18, 'WMS Attendance'!B:G, 5, FALSE)), "", VLOOKUP(A18, 'WMS Attendance'!B:G, 5, FALSE))</f>
        <v>Specialized - 2 CIOs- CL</v>
      </c>
      <c r="H18" s="98">
        <v>2</v>
      </c>
      <c r="I18" s="103">
        <v>0.37013888888888885</v>
      </c>
      <c r="J18" s="102">
        <v>6.3194444444444442E-2</v>
      </c>
      <c r="K18" s="97"/>
      <c r="L18" s="99"/>
      <c r="M18" s="101"/>
      <c r="N18" s="105"/>
    </row>
    <row r="19" spans="1:14" x14ac:dyDescent="0.3">
      <c r="A19" s="86" t="s">
        <v>64</v>
      </c>
      <c r="B19" s="119" t="str">
        <f>VLOOKUP(A19, 'WMS Attendance'!B:G, 2, FALSE)</f>
        <v>30LS035K0N (Restricted)</v>
      </c>
      <c r="C19" s="182" t="s">
        <v>47</v>
      </c>
      <c r="D19" s="108" t="s">
        <v>10</v>
      </c>
      <c r="E19" s="22" t="str">
        <f>VLOOKUP(A19,'WMS Attendance'!B:G,6, FALSE)</f>
        <v>IN</v>
      </c>
      <c r="F19" s="23" t="str">
        <f>IF(ISBLANK(VLOOKUP(A19, 'WMS Attendance'!B:G, 5, FALSE)), "", VLOOKUP(A19, 'WMS Attendance'!B:G, 5, FALSE))</f>
        <v>Specialized ET-2 CIOS per day-GP</v>
      </c>
      <c r="H19" s="98">
        <v>2</v>
      </c>
      <c r="I19" s="102">
        <v>0.375</v>
      </c>
      <c r="J19" s="102">
        <v>9.2361111111111116E-2</v>
      </c>
      <c r="K19" s="97"/>
      <c r="L19" s="99"/>
      <c r="M19" s="101"/>
      <c r="N19" s="105"/>
    </row>
    <row r="20" spans="1:14" x14ac:dyDescent="0.3">
      <c r="A20" s="86" t="s">
        <v>66</v>
      </c>
      <c r="B20" s="119" t="str">
        <f>VLOOKUP(A20, 'WMS Attendance'!B:G, 2, FALSE)</f>
        <v>30ES032L06 (Restricted)</v>
      </c>
      <c r="C20" s="182" t="s">
        <v>47</v>
      </c>
      <c r="D20" s="109" t="s">
        <v>1206</v>
      </c>
      <c r="E20" s="22" t="str">
        <f>VLOOKUP(A20,'WMS Attendance'!B:G,6, FALSE)</f>
        <v>IN</v>
      </c>
      <c r="F20" s="23" t="str">
        <f>IF(ISBLANK(VLOOKUP(A20, 'WMS Attendance'!B:G, 5, FALSE)), "", VLOOKUP(A20, 'WMS Attendance'!B:G, 5, FALSE))</f>
        <v>2 CIO's per day - Specialized ET</v>
      </c>
      <c r="H20" s="98">
        <v>2</v>
      </c>
      <c r="I20" s="103">
        <v>0.35000000000000003</v>
      </c>
      <c r="J20" s="102">
        <v>7.2916666666666671E-2</v>
      </c>
      <c r="K20" s="97"/>
      <c r="L20" s="99"/>
      <c r="M20" s="101"/>
      <c r="N20" s="105"/>
    </row>
    <row r="21" spans="1:14" x14ac:dyDescent="0.3">
      <c r="A21" s="86" t="s">
        <v>69</v>
      </c>
      <c r="B21" s="119" t="str">
        <f>VLOOKUP(A21, 'WMS Attendance'!B:G, 2, FALSE)</f>
        <v>30LS035K0E (Restricted)</v>
      </c>
      <c r="C21" s="182" t="s">
        <v>47</v>
      </c>
      <c r="D21" s="108" t="s">
        <v>1207</v>
      </c>
      <c r="E21" s="22" t="str">
        <f>VLOOKUP(A21,'WMS Attendance'!B:G,6, FALSE)</f>
        <v>IN</v>
      </c>
      <c r="F21" s="23" t="str">
        <f>IF(ISBLANK(VLOOKUP(A21, 'WMS Attendance'!B:G, 5, FALSE)), "", VLOOKUP(A21, 'WMS Attendance'!B:G, 5, FALSE))</f>
        <v/>
      </c>
      <c r="H21" s="98">
        <v>1</v>
      </c>
      <c r="I21" s="103">
        <v>0.14583333333333334</v>
      </c>
      <c r="J21" s="102"/>
      <c r="K21" s="102"/>
      <c r="L21" s="99"/>
      <c r="M21" s="101"/>
      <c r="N21" s="105"/>
    </row>
    <row r="22" spans="1:14" x14ac:dyDescent="0.3">
      <c r="A22" s="86" t="s">
        <v>70</v>
      </c>
      <c r="B22" s="119" t="str">
        <f>VLOOKUP(A22, 'WMS Attendance'!B:G, 2, FALSE)</f>
        <v>30LS035K0F (Restricted)</v>
      </c>
      <c r="C22" s="182" t="s">
        <v>47</v>
      </c>
      <c r="D22" s="108" t="s">
        <v>1207</v>
      </c>
      <c r="E22" s="22" t="str">
        <f>VLOOKUP(A22,'WMS Attendance'!B:G,6, FALSE)</f>
        <v>IN</v>
      </c>
      <c r="F22" s="23" t="str">
        <f>IF(ISBLANK(VLOOKUP(A22, 'WMS Attendance'!B:G, 5, FALSE)), "", VLOOKUP(A22, 'WMS Attendance'!B:G, 5, FALSE))</f>
        <v>2 CIOs per day - Specialized ET. VN</v>
      </c>
      <c r="H22" s="98">
        <v>2</v>
      </c>
      <c r="I22" s="102">
        <v>0.52361111111111114</v>
      </c>
      <c r="J22" s="102" t="s">
        <v>71</v>
      </c>
      <c r="K22" s="97"/>
      <c r="L22" s="99"/>
      <c r="M22" s="101"/>
      <c r="N22" s="105"/>
    </row>
    <row r="23" spans="1:14" ht="19.5" customHeight="1" x14ac:dyDescent="0.3">
      <c r="A23" s="86" t="s">
        <v>72</v>
      </c>
      <c r="B23" s="119" t="str">
        <f>VLOOKUP(A23, 'WMS Attendance'!B:G, 2, FALSE)</f>
        <v>30LS035K0D (Restricted)</v>
      </c>
      <c r="C23" s="182" t="s">
        <v>47</v>
      </c>
      <c r="D23" s="108" t="s">
        <v>1207</v>
      </c>
      <c r="E23" s="22" t="str">
        <f>VLOOKUP(A23,'WMS Attendance'!B:G,6, FALSE)</f>
        <v>IN</v>
      </c>
      <c r="F23" s="23" t="str">
        <f>IF(ISBLANK(VLOOKUP(A23, 'WMS Attendance'!B:G, 5, FALSE)), "", VLOOKUP(A23, 'WMS Attendance'!B:G, 5, FALSE))</f>
        <v>Specialized ET-2 CIOS per day-GP</v>
      </c>
      <c r="H23" s="98">
        <v>2</v>
      </c>
      <c r="I23" s="102">
        <v>0.46319444444444446</v>
      </c>
      <c r="J23" s="102">
        <v>0.52916666666666667</v>
      </c>
      <c r="K23" s="97"/>
      <c r="L23" s="99"/>
      <c r="M23" s="101"/>
      <c r="N23" s="105"/>
    </row>
    <row r="24" spans="1:14" x14ac:dyDescent="0.3">
      <c r="A24" s="86" t="s">
        <v>90</v>
      </c>
      <c r="B24" s="119" t="str">
        <f>VLOOKUP(A24, 'WMS Attendance'!B:G, 2, FALSE)</f>
        <v>30LS035K0C (Restricted)</v>
      </c>
      <c r="C24" s="182" t="s">
        <v>47</v>
      </c>
      <c r="D24" s="108" t="s">
        <v>13</v>
      </c>
      <c r="E24" s="22" t="str">
        <f>VLOOKUP(A24,'WMS Attendance'!B:G,6, FALSE)</f>
        <v>IN</v>
      </c>
      <c r="F24" s="23" t="str">
        <f>IF(ISBLANK(VLOOKUP(A24, 'WMS Attendance'!B:G, 5, FALSE)), "", VLOOKUP(A24, 'WMS Attendance'!B:G, 5, FALSE))</f>
        <v/>
      </c>
      <c r="H24" s="98">
        <v>3</v>
      </c>
      <c r="I24" s="103">
        <v>0.35347222222222219</v>
      </c>
      <c r="J24" s="102">
        <v>0.4909722222222222</v>
      </c>
      <c r="K24" s="102">
        <v>0.15902777777777777</v>
      </c>
      <c r="L24" s="99"/>
      <c r="M24" s="101"/>
      <c r="N24" s="105"/>
    </row>
    <row r="25" spans="1:14" x14ac:dyDescent="0.3">
      <c r="A25" s="86" t="s">
        <v>91</v>
      </c>
      <c r="B25" s="119" t="str">
        <f>VLOOKUP(A25, 'WMS Attendance'!B:G, 2, FALSE)</f>
        <v>30LS035K07 (Restricted)</v>
      </c>
      <c r="C25" s="182" t="s">
        <v>47</v>
      </c>
      <c r="D25" s="108" t="s">
        <v>13</v>
      </c>
      <c r="E25" s="22" t="str">
        <f>VLOOKUP(A25,'WMS Attendance'!B:G,6, FALSE)</f>
        <v>IN</v>
      </c>
      <c r="F25" s="23" t="str">
        <f>IF(ISBLANK(VLOOKUP(A25, 'WMS Attendance'!B:G, 5, FALSE)), "", VLOOKUP(A25, 'WMS Attendance'!B:G, 5, FALSE))</f>
        <v/>
      </c>
      <c r="H25" s="100">
        <v>3</v>
      </c>
      <c r="I25" s="102">
        <v>0.35486111111111113</v>
      </c>
      <c r="J25" s="102">
        <v>0.50208333333333333</v>
      </c>
      <c r="K25" s="102">
        <v>0.17500000000000002</v>
      </c>
      <c r="L25" s="99"/>
      <c r="M25" s="101"/>
      <c r="N25" s="105"/>
    </row>
    <row r="26" spans="1:14" x14ac:dyDescent="0.3">
      <c r="A26" s="86" t="s">
        <v>92</v>
      </c>
      <c r="B26" s="119" t="str">
        <f>VLOOKUP(A26, 'WMS Attendance'!B:G, 2, FALSE)</f>
        <v>30LS035K03 (Restricted)</v>
      </c>
      <c r="C26" s="182" t="s">
        <v>47</v>
      </c>
      <c r="D26" s="108" t="s">
        <v>13</v>
      </c>
      <c r="E26" s="22" t="str">
        <f>VLOOKUP(A26,'WMS Attendance'!B:G,6, FALSE)</f>
        <v>IN</v>
      </c>
      <c r="F26" s="23" t="str">
        <f>IF(ISBLANK(VLOOKUP(A26, 'WMS Attendance'!B:G, 5, FALSE)), "", VLOOKUP(A26, 'WMS Attendance'!B:G, 5, FALSE))</f>
        <v/>
      </c>
      <c r="H26" s="98">
        <v>3</v>
      </c>
      <c r="I26" s="102">
        <v>0.3576388888888889</v>
      </c>
      <c r="J26" s="102">
        <v>0.50972222222222219</v>
      </c>
      <c r="K26" s="102">
        <v>0.17916666666666667</v>
      </c>
      <c r="L26" s="99"/>
      <c r="M26" s="101"/>
      <c r="N26" s="105"/>
    </row>
    <row r="27" spans="1:14" x14ac:dyDescent="0.3">
      <c r="A27" s="86" t="s">
        <v>93</v>
      </c>
      <c r="B27" s="119" t="str">
        <f>VLOOKUP(A27, 'WMS Attendance'!B:G, 2, FALSE)</f>
        <v>30LS035K02 (Restricted)</v>
      </c>
      <c r="C27" s="182" t="s">
        <v>47</v>
      </c>
      <c r="D27" s="108" t="s">
        <v>13</v>
      </c>
      <c r="E27" s="22" t="str">
        <f>VLOOKUP(A27,'WMS Attendance'!B:G,6, FALSE)</f>
        <v>IN</v>
      </c>
      <c r="F27" s="23" t="str">
        <f>IF(ISBLANK(VLOOKUP(A27, 'WMS Attendance'!B:G, 5, FALSE)), "", VLOOKUP(A27, 'WMS Attendance'!B:G, 5, FALSE))</f>
        <v/>
      </c>
      <c r="H27" s="98">
        <v>3</v>
      </c>
      <c r="I27" s="103">
        <v>0.36944444444444446</v>
      </c>
      <c r="J27" s="102">
        <v>0.5229166666666667</v>
      </c>
      <c r="K27" s="102">
        <v>0.18055555555555555</v>
      </c>
      <c r="L27" s="99"/>
      <c r="M27" s="101"/>
      <c r="N27" s="105"/>
    </row>
    <row r="28" spans="1:14" x14ac:dyDescent="0.3">
      <c r="A28" s="86" t="s">
        <v>94</v>
      </c>
      <c r="B28" s="119" t="str">
        <f>VLOOKUP(A28, 'WMS Attendance'!B:G, 2, FALSE)</f>
        <v>30LS035K05 (Restricted)</v>
      </c>
      <c r="C28" s="182" t="s">
        <v>47</v>
      </c>
      <c r="D28" s="108" t="s">
        <v>13</v>
      </c>
      <c r="E28" s="22" t="str">
        <f>VLOOKUP(A28,'WMS Attendance'!B:G,6, FALSE)</f>
        <v>IN</v>
      </c>
      <c r="F28" s="23" t="str">
        <f>IF(ISBLANK(VLOOKUP(A28, 'WMS Attendance'!B:G, 5, FALSE)), "", VLOOKUP(A28, 'WMS Attendance'!B:G, 5, FALSE))</f>
        <v/>
      </c>
      <c r="H28" s="98">
        <v>2</v>
      </c>
      <c r="I28" s="103">
        <v>0.37083333333333335</v>
      </c>
      <c r="J28" s="102">
        <v>0.54027777777777775</v>
      </c>
      <c r="K28" s="102"/>
      <c r="L28" s="99"/>
      <c r="M28" s="101"/>
      <c r="N28" s="105"/>
    </row>
    <row r="29" spans="1:14" ht="18.75" customHeight="1" x14ac:dyDescent="0.3">
      <c r="A29" s="86" t="s">
        <v>95</v>
      </c>
      <c r="B29" s="119" t="str">
        <f>VLOOKUP(A29, 'WMS Attendance'!B:G, 2, FALSE)</f>
        <v>30LS035K09</v>
      </c>
      <c r="C29" s="182" t="s">
        <v>47</v>
      </c>
      <c r="D29" s="108" t="s">
        <v>13</v>
      </c>
      <c r="E29" s="22" t="str">
        <f>VLOOKUP(A29,'WMS Attendance'!B:G,6, FALSE)</f>
        <v>IN</v>
      </c>
      <c r="F29" s="23" t="str">
        <f>IF(ISBLANK(VLOOKUP(A29, 'WMS Attendance'!B:G, 5, FALSE)), "", VLOOKUP(A29, 'WMS Attendance'!B:G, 5, FALSE))</f>
        <v/>
      </c>
      <c r="H29" s="98">
        <v>2</v>
      </c>
      <c r="I29" s="102">
        <v>0.3756944444444445</v>
      </c>
      <c r="J29" s="102">
        <v>6.805555555555555E-2</v>
      </c>
      <c r="K29" s="97"/>
      <c r="L29" s="99"/>
      <c r="M29" s="101"/>
      <c r="N29" s="105"/>
    </row>
    <row r="30" spans="1:14" x14ac:dyDescent="0.3">
      <c r="A30" s="86" t="s">
        <v>96</v>
      </c>
      <c r="B30" s="119" t="str">
        <f>VLOOKUP(A30, 'WMS Attendance'!B:G, 2, FALSE)</f>
        <v>30LS035K0A (Restricted)</v>
      </c>
      <c r="C30" s="182" t="s">
        <v>47</v>
      </c>
      <c r="D30" s="108" t="s">
        <v>13</v>
      </c>
      <c r="E30" s="22" t="str">
        <f>VLOOKUP(A30,'WMS Attendance'!B:G,6, FALSE)</f>
        <v>IN</v>
      </c>
      <c r="F30" s="23" t="str">
        <f>IF(ISBLANK(VLOOKUP(A30, 'WMS Attendance'!B:G, 5, FALSE)), "", VLOOKUP(A30, 'WMS Attendance'!B:G, 5, FALSE))</f>
        <v/>
      </c>
      <c r="H30" s="98">
        <v>2</v>
      </c>
      <c r="I30" s="102">
        <v>0.35416666666666669</v>
      </c>
      <c r="J30" s="102">
        <v>0.14166666666666666</v>
      </c>
      <c r="K30" s="102"/>
      <c r="L30" s="99"/>
      <c r="M30" s="101"/>
      <c r="N30" s="105"/>
    </row>
    <row r="31" spans="1:14" x14ac:dyDescent="0.3">
      <c r="A31" s="86" t="s">
        <v>97</v>
      </c>
      <c r="B31" s="119" t="str">
        <f>VLOOKUP(A31, 'WMS Attendance'!B:G, 2, FALSE)</f>
        <v>30LS035K08</v>
      </c>
      <c r="C31" s="182" t="s">
        <v>47</v>
      </c>
      <c r="D31" s="108" t="s">
        <v>13</v>
      </c>
      <c r="E31" s="22" t="str">
        <f>VLOOKUP(A31,'WMS Attendance'!B:G,6, FALSE)</f>
        <v>IN</v>
      </c>
      <c r="F31" s="23" t="str">
        <f>IF(ISBLANK(VLOOKUP(A31, 'WMS Attendance'!B:G, 5, FALSE)), "", VLOOKUP(A31, 'WMS Attendance'!B:G, 5, FALSE))</f>
        <v/>
      </c>
      <c r="H31" s="98">
        <v>2</v>
      </c>
      <c r="I31" s="102">
        <v>0.34861111111111115</v>
      </c>
      <c r="J31" s="102">
        <v>0.13333333333333333</v>
      </c>
      <c r="K31" s="97"/>
      <c r="L31" s="99"/>
      <c r="M31" s="101"/>
      <c r="N31" s="105"/>
    </row>
    <row r="32" spans="1:14" x14ac:dyDescent="0.3">
      <c r="A32" s="86" t="s">
        <v>98</v>
      </c>
      <c r="B32" s="119" t="str">
        <f>VLOOKUP(A32, 'WMS Attendance'!B:G, 2, FALSE)</f>
        <v>30LS035K04 (Restricted)</v>
      </c>
      <c r="C32" s="182" t="s">
        <v>47</v>
      </c>
      <c r="D32" s="108" t="s">
        <v>13</v>
      </c>
      <c r="E32" s="22" t="str">
        <f>VLOOKUP(A32,'WMS Attendance'!B:G,6, FALSE)</f>
        <v>IN</v>
      </c>
      <c r="F32" s="23" t="str">
        <f>IF(ISBLANK(VLOOKUP(A32, 'WMS Attendance'!B:G, 5, FALSE)), "", VLOOKUP(A32, 'WMS Attendance'!B:G, 5, FALSE))</f>
        <v>2 CIOs per day - Specialized ET. VN</v>
      </c>
      <c r="H32" s="98">
        <v>2</v>
      </c>
      <c r="I32" s="102">
        <v>0.35138888888888892</v>
      </c>
      <c r="J32" s="102">
        <v>0.47152777777777777</v>
      </c>
      <c r="K32" s="97"/>
      <c r="L32" s="99"/>
      <c r="M32" s="101"/>
      <c r="N32" s="105"/>
    </row>
    <row r="33" spans="1:15" x14ac:dyDescent="0.3">
      <c r="A33" s="86" t="s">
        <v>99</v>
      </c>
      <c r="B33" s="119" t="str">
        <f>VLOOKUP(A33, 'WMS Attendance'!B:G, 2, FALSE)</f>
        <v>30LS035K0B (Restricted)</v>
      </c>
      <c r="C33" s="182" t="s">
        <v>47</v>
      </c>
      <c r="D33" s="108" t="s">
        <v>13</v>
      </c>
      <c r="E33" s="22" t="str">
        <f>VLOOKUP(A33,'WMS Attendance'!B:G,6, FALSE)</f>
        <v>IN</v>
      </c>
      <c r="F33" s="23" t="str">
        <f>IF(ISBLANK(VLOOKUP(A33, 'WMS Attendance'!B:G, 5, FALSE)), "", VLOOKUP(A33, 'WMS Attendance'!B:G, 5, FALSE))</f>
        <v>3 CIO's per day - Specialized ET - mc</v>
      </c>
      <c r="H33" s="98">
        <v>3</v>
      </c>
      <c r="I33" s="102">
        <v>0.3659722222222222</v>
      </c>
      <c r="J33" s="102">
        <v>0.51874999999999993</v>
      </c>
      <c r="K33" s="102">
        <v>0.1423611111111111</v>
      </c>
      <c r="L33" s="99"/>
      <c r="M33" s="101"/>
      <c r="N33" s="105"/>
    </row>
    <row r="34" spans="1:15" x14ac:dyDescent="0.3">
      <c r="A34" s="86" t="s">
        <v>100</v>
      </c>
      <c r="B34" s="119" t="str">
        <f>VLOOKUP(A34, 'WMS Attendance'!B:G, 2, FALSE)</f>
        <v>30LS035K06 (Restricted)</v>
      </c>
      <c r="C34" s="182" t="s">
        <v>47</v>
      </c>
      <c r="D34" s="108" t="s">
        <v>13</v>
      </c>
      <c r="E34" s="22" t="str">
        <f>VLOOKUP(A34,'WMS Attendance'!B:G,6, FALSE)</f>
        <v>IN</v>
      </c>
      <c r="F34" s="23" t="str">
        <f>IF(ISBLANK(VLOOKUP(A34, 'WMS Attendance'!B:G, 5, FALSE)), "", VLOOKUP(A34, 'WMS Attendance'!B:G, 5, FALSE))</f>
        <v>3 CIO's per day - Specialized ET - mc</v>
      </c>
      <c r="H34" s="98">
        <v>3</v>
      </c>
      <c r="I34" s="103">
        <v>0.37708333333333338</v>
      </c>
      <c r="J34" s="102">
        <v>7.013888888888889E-2</v>
      </c>
      <c r="K34" s="102">
        <v>0.16527777777777777</v>
      </c>
      <c r="L34" s="99"/>
      <c r="M34" s="101"/>
      <c r="N34" s="105"/>
    </row>
    <row r="35" spans="1:15" x14ac:dyDescent="0.3">
      <c r="A35" s="86" t="s">
        <v>8</v>
      </c>
      <c r="B35" s="119" t="str">
        <f>VLOOKUP(A35, 'WMS Attendance'!B:G, 2, FALSE)</f>
        <v>30LS03AV01</v>
      </c>
      <c r="C35" s="8" t="s">
        <v>9</v>
      </c>
      <c r="D35" s="108" t="s">
        <v>10</v>
      </c>
      <c r="E35" s="22" t="str">
        <f>VLOOKUP(A35,'WMS Attendance'!B:G,6, FALSE)</f>
        <v>IN</v>
      </c>
      <c r="F35" s="23" t="str">
        <f>IF(ISBLANK(VLOOKUP(A35, 'WMS Attendance'!B:G, 5, FALSE)), "", VLOOKUP(A35, 'WMS Attendance'!B:G, 5, FALSE))</f>
        <v/>
      </c>
      <c r="G35" s="21"/>
      <c r="H35" s="98"/>
      <c r="I35" s="97"/>
      <c r="J35" s="97"/>
      <c r="K35" s="97"/>
      <c r="L35" s="99"/>
      <c r="M35" s="101"/>
      <c r="N35" s="105"/>
    </row>
    <row r="36" spans="1:15" x14ac:dyDescent="0.3">
      <c r="A36" s="86" t="s">
        <v>11</v>
      </c>
      <c r="B36" s="119" t="str">
        <f>VLOOKUP(A36, 'WMS Attendance'!B:G, 2, FALSE)</f>
        <v>30LS03AV05</v>
      </c>
      <c r="C36" s="8" t="s">
        <v>9</v>
      </c>
      <c r="D36" s="108" t="s">
        <v>10</v>
      </c>
      <c r="E36" s="22" t="str">
        <f>VLOOKUP(A36,'WMS Attendance'!B:G,6, FALSE)</f>
        <v>IN</v>
      </c>
      <c r="F36" s="23" t="str">
        <f>IF(ISBLANK(VLOOKUP(A36, 'WMS Attendance'!B:G, 5, FALSE)), "", VLOOKUP(A36, 'WMS Attendance'!B:G, 5, FALSE))</f>
        <v/>
      </c>
      <c r="G36" s="21"/>
      <c r="H36" s="98">
        <v>1</v>
      </c>
      <c r="I36" s="102">
        <v>0.38958333333333334</v>
      </c>
      <c r="J36" s="97"/>
      <c r="K36" s="97"/>
      <c r="L36" s="99"/>
      <c r="M36" s="101"/>
      <c r="N36" s="105"/>
    </row>
    <row r="37" spans="1:15" x14ac:dyDescent="0.3">
      <c r="A37" s="86" t="s">
        <v>12</v>
      </c>
      <c r="B37" s="119" t="str">
        <f>VLOOKUP(A37, 'WMS Attendance'!B:G, 2, FALSE)</f>
        <v>30LS03AV04</v>
      </c>
      <c r="C37" s="8" t="s">
        <v>9</v>
      </c>
      <c r="D37" s="108" t="s">
        <v>13</v>
      </c>
      <c r="E37" s="22" t="str">
        <f>VLOOKUP(A37,'WMS Attendance'!B:G,6, FALSE)</f>
        <v>IN</v>
      </c>
      <c r="F37" s="23" t="str">
        <f>IF(ISBLANK(VLOOKUP(A37, 'WMS Attendance'!B:G, 5, FALSE)), "", VLOOKUP(A37, 'WMS Attendance'!B:G, 5, FALSE))</f>
        <v/>
      </c>
      <c r="G37" s="21"/>
      <c r="H37" s="100">
        <v>1</v>
      </c>
      <c r="I37" s="102">
        <v>0.41319444444444442</v>
      </c>
      <c r="J37" s="97"/>
      <c r="K37" s="97"/>
      <c r="L37" s="99"/>
      <c r="M37" s="101"/>
      <c r="N37" s="105"/>
    </row>
    <row r="38" spans="1:15" x14ac:dyDescent="0.3">
      <c r="A38" s="86" t="s">
        <v>14</v>
      </c>
      <c r="B38" s="119" t="str">
        <f>VLOOKUP(A38, 'WMS Attendance'!B:G, 2, FALSE)</f>
        <v>30LS03AA04</v>
      </c>
      <c r="C38" s="8" t="s">
        <v>15</v>
      </c>
      <c r="D38" s="108" t="s">
        <v>10</v>
      </c>
      <c r="E38" s="22" t="str">
        <f>VLOOKUP(A38,'WMS Attendance'!B:G,6, FALSE)</f>
        <v>IN</v>
      </c>
      <c r="F38" s="23" t="str">
        <f>IF(ISBLANK(VLOOKUP(A38, 'WMS Attendance'!B:G, 5, FALSE)), "", VLOOKUP(A38, 'WMS Attendance'!B:G, 5, FALSE))</f>
        <v/>
      </c>
      <c r="G38" s="34">
        <v>0.20833333333333334</v>
      </c>
      <c r="H38" s="98">
        <v>1</v>
      </c>
      <c r="I38" s="102">
        <v>0.52430555555555558</v>
      </c>
      <c r="J38" s="97"/>
      <c r="K38" s="97"/>
      <c r="L38" s="99"/>
      <c r="M38" s="101"/>
      <c r="N38" s="105"/>
    </row>
    <row r="39" spans="1:15" x14ac:dyDescent="0.3">
      <c r="A39" s="86" t="s">
        <v>16</v>
      </c>
      <c r="B39" s="119" t="str">
        <f>VLOOKUP(A39, 'WMS Attendance'!B:G, 2, FALSE)</f>
        <v>30LS03AB02</v>
      </c>
      <c r="C39" s="8" t="s">
        <v>15</v>
      </c>
      <c r="D39" s="108" t="s">
        <v>10</v>
      </c>
      <c r="E39" s="22" t="str">
        <f>VLOOKUP(A39,'WMS Attendance'!B:G,6, FALSE)</f>
        <v>IN</v>
      </c>
      <c r="F39" s="23" t="str">
        <f>IF(ISBLANK(VLOOKUP(A39, 'WMS Attendance'!B:G, 5, FALSE)), "", VLOOKUP(A39, 'WMS Attendance'!B:G, 5, FALSE))</f>
        <v/>
      </c>
      <c r="G39" s="21"/>
      <c r="H39" s="98">
        <v>1</v>
      </c>
      <c r="I39" s="102" t="s">
        <v>17</v>
      </c>
      <c r="J39" s="102"/>
      <c r="K39" s="97"/>
      <c r="L39" s="99"/>
      <c r="M39" s="101"/>
      <c r="N39" s="105"/>
    </row>
    <row r="40" spans="1:15" x14ac:dyDescent="0.3">
      <c r="A40" s="86" t="s">
        <v>18</v>
      </c>
      <c r="B40" s="119" t="str">
        <f>VLOOKUP(A40, 'WMS Attendance'!B:G, 2, FALSE)</f>
        <v>30LS03AB01</v>
      </c>
      <c r="C40" s="8" t="s">
        <v>15</v>
      </c>
      <c r="D40" s="108" t="s">
        <v>13</v>
      </c>
      <c r="E40" s="22" t="str">
        <f>VLOOKUP(A40,'WMS Attendance'!B:G,6, FALSE)</f>
        <v>IN</v>
      </c>
      <c r="F40" s="23" t="str">
        <f>IF(ISBLANK(VLOOKUP(A40, 'WMS Attendance'!B:G, 5, FALSE)), "", VLOOKUP(A40, 'WMS Attendance'!B:G, 5, FALSE))</f>
        <v/>
      </c>
      <c r="G40" s="21"/>
      <c r="H40" s="98">
        <v>2</v>
      </c>
      <c r="I40" s="102">
        <v>8.6805555555555566E-2</v>
      </c>
      <c r="J40" s="102" t="s">
        <v>19</v>
      </c>
      <c r="K40" s="97"/>
      <c r="L40" s="99"/>
      <c r="M40" s="101"/>
      <c r="N40" s="105"/>
    </row>
    <row r="41" spans="1:15" x14ac:dyDescent="0.3">
      <c r="A41" s="86" t="s">
        <v>20</v>
      </c>
      <c r="B41" s="119" t="str">
        <f>VLOOKUP(A41, 'WMS Attendance'!B:G, 2, FALSE)</f>
        <v>30LS03AA05</v>
      </c>
      <c r="C41" s="8" t="s">
        <v>15</v>
      </c>
      <c r="D41" s="108" t="s">
        <v>13</v>
      </c>
      <c r="E41" s="22" t="str">
        <f>VLOOKUP(A41,'WMS Attendance'!B:G,6, FALSE)</f>
        <v>IN</v>
      </c>
      <c r="F41" s="23" t="str">
        <f>IF(ISBLANK(VLOOKUP(A41, 'WMS Attendance'!B:G, 5, FALSE)), "", VLOOKUP(A41, 'WMS Attendance'!B:G, 5, FALSE))</f>
        <v/>
      </c>
      <c r="G41" s="21"/>
      <c r="H41" s="98">
        <v>1</v>
      </c>
      <c r="I41" s="102" t="s">
        <v>21</v>
      </c>
      <c r="J41" s="102"/>
      <c r="K41" s="97"/>
      <c r="L41" s="99"/>
      <c r="M41" s="101"/>
      <c r="N41" s="105"/>
    </row>
    <row r="42" spans="1:15" x14ac:dyDescent="0.3">
      <c r="A42" s="86" t="s">
        <v>22</v>
      </c>
      <c r="B42" s="119" t="str">
        <f>VLOOKUP(A42, 'WMS Attendance'!B:G, 2, FALSE)</f>
        <v>30LS03AD02</v>
      </c>
      <c r="C42" s="8" t="s">
        <v>15</v>
      </c>
      <c r="D42" s="108" t="s">
        <v>13</v>
      </c>
      <c r="E42" s="22" t="str">
        <f>VLOOKUP(A42,'WMS Attendance'!B:G,6, FALSE)</f>
        <v>IN</v>
      </c>
      <c r="F42" s="23" t="str">
        <f>IF(ISBLANK(VLOOKUP(A42, 'WMS Attendance'!B:G, 5, FALSE)), "", VLOOKUP(A42, 'WMS Attendance'!B:G, 5, FALSE))</f>
        <v/>
      </c>
      <c r="G42" s="21"/>
      <c r="H42" s="98">
        <v>1</v>
      </c>
      <c r="I42" s="97" t="s">
        <v>23</v>
      </c>
      <c r="J42" s="97"/>
      <c r="K42" s="97"/>
      <c r="L42" s="99"/>
      <c r="M42" s="101"/>
      <c r="N42" s="105"/>
    </row>
    <row r="43" spans="1:15" x14ac:dyDescent="0.3">
      <c r="A43" s="86" t="s">
        <v>24</v>
      </c>
      <c r="B43" s="119" t="str">
        <f>VLOOKUP(A43, 'WMS Attendance'!B:G, 2, FALSE)</f>
        <v>30LS03AD04</v>
      </c>
      <c r="C43" s="8" t="s">
        <v>15</v>
      </c>
      <c r="D43" s="108" t="s">
        <v>13</v>
      </c>
      <c r="E43" s="22" t="str">
        <f>VLOOKUP(A43,'WMS Attendance'!B:G,6, FALSE)</f>
        <v>IN</v>
      </c>
      <c r="F43" s="23" t="str">
        <f>IF(ISBLANK(VLOOKUP(A43, 'WMS Attendance'!B:G, 5, FALSE)), "", VLOOKUP(A43, 'WMS Attendance'!B:G, 5, FALSE))</f>
        <v/>
      </c>
      <c r="G43" s="21"/>
      <c r="H43" s="98">
        <v>1</v>
      </c>
      <c r="I43" s="102">
        <v>0.18680555555555556</v>
      </c>
      <c r="J43" s="102"/>
      <c r="K43" s="97"/>
      <c r="L43" s="99"/>
      <c r="M43" s="101"/>
      <c r="N43" s="105"/>
    </row>
    <row r="44" spans="1:15" x14ac:dyDescent="0.3">
      <c r="A44" s="86" t="s">
        <v>25</v>
      </c>
      <c r="B44" s="119" t="str">
        <f>VLOOKUP(A44, 'WMS Attendance'!B:G, 2, FALSE)</f>
        <v>30LS03AC0A</v>
      </c>
      <c r="C44" s="8" t="s">
        <v>15</v>
      </c>
      <c r="D44" s="108" t="s">
        <v>13</v>
      </c>
      <c r="E44" s="22" t="str">
        <f>VLOOKUP(A44,'WMS Attendance'!B:G,6, FALSE)</f>
        <v>IN</v>
      </c>
      <c r="F44" s="23" t="str">
        <f>IF(ISBLANK(VLOOKUP(A44, 'WMS Attendance'!B:G, 5, FALSE)), "", VLOOKUP(A44, 'WMS Attendance'!B:G, 5, FALSE))</f>
        <v/>
      </c>
      <c r="G44" s="34"/>
      <c r="H44" s="98"/>
      <c r="I44" s="97"/>
      <c r="J44" s="97"/>
      <c r="K44" s="97"/>
      <c r="L44" s="99"/>
      <c r="M44" s="101"/>
      <c r="N44" s="105"/>
    </row>
    <row r="45" spans="1:15" x14ac:dyDescent="0.3">
      <c r="A45" s="86" t="s">
        <v>101</v>
      </c>
      <c r="B45" s="119" t="str">
        <f>VLOOKUP(A45, 'WMS Attendance'!B:G, 2, FALSE)</f>
        <v>30LS033N0H</v>
      </c>
      <c r="C45" s="21" t="s">
        <v>103</v>
      </c>
      <c r="D45" s="108" t="s">
        <v>10</v>
      </c>
      <c r="E45" s="22" t="str">
        <f>VLOOKUP(A45,'WMS Attendance'!B:G,6, FALSE)</f>
        <v>IN</v>
      </c>
      <c r="F45" s="23" t="str">
        <f>IF(ISBLANK(VLOOKUP(A45, 'WMS Attendance'!B:G, 5, FALSE)), "", VLOOKUP(A45, 'WMS Attendance'!B:G, 5, FALSE))</f>
        <v/>
      </c>
      <c r="G45" s="21"/>
      <c r="H45" s="98"/>
      <c r="I45" s="102"/>
      <c r="J45" s="102"/>
      <c r="K45" s="102"/>
      <c r="L45" s="99"/>
      <c r="M45" s="101"/>
      <c r="N45" s="105"/>
    </row>
    <row r="46" spans="1:15" x14ac:dyDescent="0.3">
      <c r="A46" s="86" t="s">
        <v>104</v>
      </c>
      <c r="B46" s="119" t="str">
        <f>VLOOKUP(A46, 'WMS Attendance'!B:G, 2, FALSE)</f>
        <v>30LS033N05</v>
      </c>
      <c r="C46" s="21" t="s">
        <v>103</v>
      </c>
      <c r="D46" s="108" t="s">
        <v>10</v>
      </c>
      <c r="E46" s="22" t="str">
        <f>VLOOKUP(A46,'WMS Attendance'!B:G,6, FALSE)</f>
        <v>IN</v>
      </c>
      <c r="F46" s="23" t="str">
        <f>IF(ISBLANK(VLOOKUP(A46, 'WMS Attendance'!B:G, 5, FALSE)), "", VLOOKUP(A46, 'WMS Attendance'!B:G, 5, FALSE))</f>
        <v/>
      </c>
      <c r="G46" s="34">
        <v>0.20833333333333334</v>
      </c>
      <c r="H46" s="98"/>
      <c r="I46" s="102"/>
      <c r="J46" s="102"/>
      <c r="K46" s="97"/>
      <c r="L46" s="99"/>
      <c r="M46" s="101"/>
      <c r="N46" s="105"/>
    </row>
    <row r="47" spans="1:15" x14ac:dyDescent="0.3">
      <c r="A47" s="86" t="s">
        <v>106</v>
      </c>
      <c r="B47" s="119" t="str">
        <f>VLOOKUP(A47, 'WMS Attendance'!B:G, 2, FALSE)</f>
        <v>30ES032M02</v>
      </c>
      <c r="C47" s="21" t="s">
        <v>103</v>
      </c>
      <c r="D47" s="108" t="s">
        <v>1206</v>
      </c>
      <c r="E47" s="22" t="str">
        <f>VLOOKUP(A47,'WMS Attendance'!B:G,6, FALSE)</f>
        <v>IN</v>
      </c>
      <c r="F47" s="23" t="str">
        <f>IF(ISBLANK(VLOOKUP(A47, 'WMS Attendance'!B:G, 5, FALSE)), "", VLOOKUP(A47, 'WMS Attendance'!B:G, 5, FALSE))</f>
        <v/>
      </c>
      <c r="G47" s="34">
        <v>0.20833333333333334</v>
      </c>
      <c r="H47" s="98">
        <v>1</v>
      </c>
      <c r="I47" s="102">
        <v>9.930555555555555E-2</v>
      </c>
      <c r="J47" s="102"/>
      <c r="K47" s="102"/>
      <c r="L47" s="99"/>
      <c r="M47" s="101"/>
      <c r="N47" s="105"/>
      <c r="O47" s="26"/>
    </row>
    <row r="48" spans="1:15" x14ac:dyDescent="0.3">
      <c r="A48" s="120" t="s">
        <v>107</v>
      </c>
      <c r="B48" s="119" t="str">
        <f>VLOOKUP(A48, 'WMS Attendance'!B:G, 2, FALSE)</f>
        <v>30ES032M0C</v>
      </c>
      <c r="C48" s="21" t="s">
        <v>103</v>
      </c>
      <c r="D48" s="108" t="s">
        <v>1207</v>
      </c>
      <c r="E48" s="22" t="str">
        <f>VLOOKUP(A48,'WMS Attendance'!B:G,6, FALSE)</f>
        <v>IN</v>
      </c>
      <c r="F48" s="23" t="str">
        <f>IF(ISBLANK(VLOOKUP(A48, 'WMS Attendance'!B:G, 5, FALSE)), "", VLOOKUP(A48, 'WMS Attendance'!B:G, 5, FALSE))</f>
        <v/>
      </c>
      <c r="G48" s="34">
        <v>0.1875</v>
      </c>
      <c r="H48" s="98"/>
      <c r="I48" s="102"/>
      <c r="J48" s="97"/>
      <c r="K48" s="97"/>
      <c r="L48" s="99"/>
      <c r="M48" s="101"/>
      <c r="N48" s="105"/>
    </row>
    <row r="49" spans="1:14" x14ac:dyDescent="0.3">
      <c r="A49" s="86" t="s">
        <v>109</v>
      </c>
      <c r="B49" s="119" t="str">
        <f>VLOOKUP(A49, 'WMS Attendance'!B:G, 2, FALSE)</f>
        <v>30LS033N06</v>
      </c>
      <c r="C49" s="21" t="s">
        <v>103</v>
      </c>
      <c r="D49" s="108" t="s">
        <v>13</v>
      </c>
      <c r="E49" s="22" t="str">
        <f>VLOOKUP(A49,'WMS Attendance'!B:G,6, FALSE)</f>
        <v>IN</v>
      </c>
      <c r="F49" s="23" t="str">
        <f>IF(ISBLANK(VLOOKUP(A49, 'WMS Attendance'!B:G, 5, FALSE)), "", VLOOKUP(A49, 'WMS Attendance'!B:G, 5, FALSE))</f>
        <v/>
      </c>
      <c r="G49" s="34">
        <v>0.20833333333333334</v>
      </c>
      <c r="H49" s="98">
        <v>2</v>
      </c>
      <c r="I49" s="102">
        <v>0.34652777777777777</v>
      </c>
      <c r="J49" s="97" t="s">
        <v>110</v>
      </c>
      <c r="K49" s="97"/>
      <c r="L49" s="99"/>
      <c r="M49" s="101"/>
      <c r="N49" s="105"/>
    </row>
    <row r="50" spans="1:14" x14ac:dyDescent="0.3">
      <c r="A50" s="86" t="s">
        <v>111</v>
      </c>
      <c r="B50" s="119" t="str">
        <f>VLOOKUP(A50, 'WMS Attendance'!B:G, 2, FALSE)</f>
        <v>30LS033N07</v>
      </c>
      <c r="C50" s="21" t="s">
        <v>103</v>
      </c>
      <c r="D50" s="108" t="s">
        <v>13</v>
      </c>
      <c r="E50" s="22" t="str">
        <f>VLOOKUP(A50,'WMS Attendance'!B:G,6, FALSE)</f>
        <v>IN</v>
      </c>
      <c r="F50" s="23" t="str">
        <f>IF(ISBLANK(VLOOKUP(A50, 'WMS Attendance'!B:G, 5, FALSE)), "", VLOOKUP(A50, 'WMS Attendance'!B:G, 5, FALSE))</f>
        <v/>
      </c>
      <c r="G50" s="21"/>
      <c r="H50" s="98">
        <v>2</v>
      </c>
      <c r="I50" s="102">
        <v>0.46249999999999997</v>
      </c>
      <c r="J50" s="102">
        <v>0.12083333333333333</v>
      </c>
      <c r="K50" s="97"/>
      <c r="L50" s="99"/>
      <c r="M50" s="101"/>
      <c r="N50" s="105"/>
    </row>
    <row r="51" spans="1:14" x14ac:dyDescent="0.3">
      <c r="A51" s="86" t="s">
        <v>112</v>
      </c>
      <c r="B51" s="119" t="str">
        <f>VLOOKUP(A51, 'WMS Attendance'!B:G, 2, FALSE)</f>
        <v>30LS033N03</v>
      </c>
      <c r="C51" s="21" t="s">
        <v>103</v>
      </c>
      <c r="D51" s="108" t="s">
        <v>13</v>
      </c>
      <c r="E51" s="22" t="str">
        <f>VLOOKUP(A51,'WMS Attendance'!B:G,6, FALSE)</f>
        <v>IN</v>
      </c>
      <c r="F51" s="23" t="str">
        <f>IF(ISBLANK(VLOOKUP(A51, 'WMS Attendance'!B:G, 5, FALSE)), "", VLOOKUP(A51, 'WMS Attendance'!B:G, 5, FALSE))</f>
        <v/>
      </c>
      <c r="G51" s="34">
        <v>0.20833333333333334</v>
      </c>
      <c r="H51" s="98">
        <v>2</v>
      </c>
      <c r="I51" s="102">
        <v>0.44097222222222227</v>
      </c>
      <c r="J51" s="97" t="s">
        <v>113</v>
      </c>
      <c r="K51" s="97"/>
      <c r="L51" s="99"/>
      <c r="M51" s="101"/>
      <c r="N51" s="105"/>
    </row>
    <row r="52" spans="1:14" x14ac:dyDescent="0.3">
      <c r="A52" s="86" t="s">
        <v>116</v>
      </c>
      <c r="B52" s="119" t="str">
        <f>VLOOKUP(A52, 'WMS Attendance'!B:G, 2, FALSE)</f>
        <v>30ES032M08</v>
      </c>
      <c r="C52" s="21" t="s">
        <v>103</v>
      </c>
      <c r="D52" s="108" t="s">
        <v>13</v>
      </c>
      <c r="E52" s="22" t="str">
        <f>VLOOKUP(A52,'WMS Attendance'!B:G,6, FALSE)</f>
        <v>IN</v>
      </c>
      <c r="F52" s="23" t="str">
        <f>IF(ISBLANK(VLOOKUP(A52, 'WMS Attendance'!B:G, 5, FALSE)), "", VLOOKUP(A52, 'WMS Attendance'!B:G, 5, FALSE))</f>
        <v/>
      </c>
      <c r="G52" s="21"/>
      <c r="H52" s="98">
        <v>1</v>
      </c>
      <c r="I52" s="102">
        <v>0.52361111111111114</v>
      </c>
      <c r="J52" s="102"/>
      <c r="K52" s="97"/>
      <c r="L52" s="99"/>
      <c r="M52" s="101"/>
      <c r="N52" s="105"/>
    </row>
    <row r="53" spans="1:14" x14ac:dyDescent="0.3">
      <c r="A53" s="86" t="s">
        <v>26</v>
      </c>
      <c r="B53" s="119" t="str">
        <f>VLOOKUP(A53, 'WMS Attendance'!B:G, 2, FALSE)</f>
        <v>30LS03G407</v>
      </c>
      <c r="C53" s="8" t="s">
        <v>27</v>
      </c>
      <c r="D53" s="108" t="s">
        <v>10</v>
      </c>
      <c r="E53" s="22" t="str">
        <f>VLOOKUP(A53,'WMS Attendance'!B:G,6, FALSE)</f>
        <v>IN</v>
      </c>
      <c r="F53" s="23" t="str">
        <f>IF(ISBLANK(VLOOKUP(A53, 'WMS Attendance'!B:G, 5, FALSE)), "", VLOOKUP(A53, 'WMS Attendance'!B:G, 5, FALSE))</f>
        <v/>
      </c>
      <c r="G53" s="21"/>
      <c r="H53" s="98">
        <v>2</v>
      </c>
      <c r="I53" s="102">
        <v>0.43194444444444446</v>
      </c>
      <c r="J53" s="102">
        <v>0.16388888888888889</v>
      </c>
      <c r="K53" s="97"/>
      <c r="L53" s="99"/>
      <c r="M53" s="101"/>
      <c r="N53" s="105"/>
    </row>
    <row r="54" spans="1:14" x14ac:dyDescent="0.3">
      <c r="A54" s="86" t="s">
        <v>28</v>
      </c>
      <c r="B54" s="119" t="str">
        <f>VLOOKUP(A54, 'WMS Attendance'!B:G, 2, FALSE)</f>
        <v>30ES03300F</v>
      </c>
      <c r="C54" s="8" t="s">
        <v>29</v>
      </c>
      <c r="D54" s="108" t="s">
        <v>10</v>
      </c>
      <c r="E54" s="22" t="str">
        <f>VLOOKUP(A54,'WMS Attendance'!B:G,6, FALSE)</f>
        <v>IN</v>
      </c>
      <c r="F54" s="23" t="str">
        <f>IF(ISBLANK(VLOOKUP(A54, 'WMS Attendance'!B:G, 5, FALSE)), "", VLOOKUP(A54, 'WMS Attendance'!B:G, 5, FALSE))</f>
        <v/>
      </c>
      <c r="G54" s="21"/>
      <c r="H54" s="98">
        <v>2</v>
      </c>
      <c r="I54" s="102">
        <v>0.49374999999999997</v>
      </c>
      <c r="J54" s="102" t="s">
        <v>30</v>
      </c>
      <c r="K54" s="102"/>
      <c r="L54" s="99"/>
      <c r="M54" s="101"/>
      <c r="N54" s="105"/>
    </row>
    <row r="55" spans="1:14" x14ac:dyDescent="0.3">
      <c r="A55" s="86" t="s">
        <v>31</v>
      </c>
      <c r="B55" s="119" t="str">
        <f>VLOOKUP(A55, 'WMS Attendance'!B:G, 2, FALSE)</f>
        <v>30LS03YL06</v>
      </c>
      <c r="C55" s="8" t="s">
        <v>29</v>
      </c>
      <c r="D55" s="108" t="s">
        <v>10</v>
      </c>
      <c r="E55" s="22" t="str">
        <f>VLOOKUP(A55,'WMS Attendance'!B:G,6, FALSE)</f>
        <v>IN</v>
      </c>
      <c r="F55" s="23" t="str">
        <f>IF(ISBLANK(VLOOKUP(A55, 'WMS Attendance'!B:G, 5, FALSE)), "", VLOOKUP(A55, 'WMS Attendance'!B:G, 5, FALSE))</f>
        <v/>
      </c>
      <c r="G55" s="34">
        <v>0.20833333333333334</v>
      </c>
      <c r="H55" s="98">
        <v>1</v>
      </c>
      <c r="I55" s="102">
        <v>0.47500000000000003</v>
      </c>
      <c r="J55" s="102"/>
      <c r="K55" s="97"/>
      <c r="L55" s="99"/>
      <c r="M55" s="101"/>
      <c r="N55" s="105"/>
    </row>
    <row r="56" spans="1:14" x14ac:dyDescent="0.3">
      <c r="A56" s="86" t="s">
        <v>32</v>
      </c>
      <c r="B56" s="119" t="str">
        <f>VLOOKUP(A56, 'WMS Attendance'!B:G, 2, FALSE)</f>
        <v>30ES032T0G</v>
      </c>
      <c r="C56" s="8" t="s">
        <v>29</v>
      </c>
      <c r="D56" s="108" t="s">
        <v>10</v>
      </c>
      <c r="E56" s="22" t="str">
        <f>VLOOKUP(A56,'WMS Attendance'!B:G,6, FALSE)</f>
        <v>IN</v>
      </c>
      <c r="F56" s="23" t="str">
        <f>IF(ISBLANK(VLOOKUP(A56, 'WMS Attendance'!B:G, 5, FALSE)), "", VLOOKUP(A56, 'WMS Attendance'!B:G, 5, FALSE))</f>
        <v/>
      </c>
      <c r="G56" s="21"/>
      <c r="H56" s="98">
        <v>2</v>
      </c>
      <c r="I56" s="102" t="s">
        <v>33</v>
      </c>
      <c r="J56" s="102">
        <v>0.18124999999999999</v>
      </c>
      <c r="K56" s="97"/>
      <c r="L56" s="99"/>
      <c r="M56" s="101"/>
      <c r="N56" s="105"/>
    </row>
    <row r="57" spans="1:14" x14ac:dyDescent="0.3">
      <c r="A57" s="86" t="s">
        <v>34</v>
      </c>
      <c r="B57" s="119" t="str">
        <f>VLOOKUP(A57, 'WMS Attendance'!B:G, 2, FALSE)</f>
        <v>30LS038Y0L</v>
      </c>
      <c r="C57" s="8" t="s">
        <v>29</v>
      </c>
      <c r="D57" s="108" t="s">
        <v>10</v>
      </c>
      <c r="E57" s="22" t="str">
        <f>VLOOKUP(A57,'WMS Attendance'!B:G,6, FALSE)</f>
        <v>IN</v>
      </c>
      <c r="F57" s="23" t="str">
        <f>IF(ISBLANK(VLOOKUP(A57, 'WMS Attendance'!B:G, 5, FALSE)), "", VLOOKUP(A57, 'WMS Attendance'!B:G, 5, FALSE))</f>
        <v/>
      </c>
      <c r="G57" s="34">
        <v>0.20833333333333334</v>
      </c>
      <c r="H57" s="98">
        <v>1</v>
      </c>
      <c r="I57" s="102">
        <v>0.48749999999999999</v>
      </c>
      <c r="J57" s="102"/>
      <c r="K57" s="97"/>
      <c r="L57" s="99"/>
      <c r="M57" s="101"/>
      <c r="N57" s="105"/>
    </row>
    <row r="58" spans="1:14" x14ac:dyDescent="0.3">
      <c r="A58" s="86" t="s">
        <v>35</v>
      </c>
      <c r="B58" s="119" t="str">
        <f>VLOOKUP(A58, 'WMS Attendance'!B:G, 2, FALSE)</f>
        <v>30LS03YL03</v>
      </c>
      <c r="C58" s="8" t="s">
        <v>29</v>
      </c>
      <c r="D58" s="108" t="s">
        <v>10</v>
      </c>
      <c r="E58" s="22" t="str">
        <f>VLOOKUP(A58,'WMS Attendance'!B:G,6, FALSE)</f>
        <v>IN</v>
      </c>
      <c r="F58" s="23" t="str">
        <f>IF(ISBLANK(VLOOKUP(A58, 'WMS Attendance'!B:G, 5, FALSE)), "", VLOOKUP(A58, 'WMS Attendance'!B:G, 5, FALSE))</f>
        <v/>
      </c>
      <c r="G58" s="21"/>
      <c r="H58" s="98">
        <v>1</v>
      </c>
      <c r="I58" s="102">
        <v>0.49444444444444446</v>
      </c>
      <c r="J58" s="102"/>
      <c r="K58" s="102"/>
      <c r="L58" s="99"/>
      <c r="M58" s="101"/>
      <c r="N58" s="105"/>
    </row>
    <row r="59" spans="1:14" x14ac:dyDescent="0.3">
      <c r="A59" s="86" t="s">
        <v>36</v>
      </c>
      <c r="B59" s="119" t="str">
        <f>VLOOKUP(A59, 'WMS Attendance'!B:G, 2, FALSE)</f>
        <v>30LS03YL07</v>
      </c>
      <c r="C59" s="8" t="s">
        <v>29</v>
      </c>
      <c r="D59" s="108" t="s">
        <v>10</v>
      </c>
      <c r="E59" s="22" t="str">
        <f>VLOOKUP(A59,'WMS Attendance'!B:G,6, FALSE)</f>
        <v>IN</v>
      </c>
      <c r="F59" s="23" t="str">
        <f>IF(ISBLANK(VLOOKUP(A59, 'WMS Attendance'!B:G, 5, FALSE)), "", VLOOKUP(A59, 'WMS Attendance'!B:G, 5, FALSE))</f>
        <v/>
      </c>
      <c r="G59" s="21"/>
      <c r="H59" s="98">
        <v>1</v>
      </c>
      <c r="I59" s="102">
        <v>0.5</v>
      </c>
      <c r="J59" s="97"/>
      <c r="K59" s="97"/>
      <c r="L59" s="99"/>
      <c r="M59" s="101"/>
      <c r="N59" s="105"/>
    </row>
    <row r="60" spans="1:14" x14ac:dyDescent="0.3">
      <c r="A60" s="86" t="s">
        <v>37</v>
      </c>
      <c r="B60" s="119" t="str">
        <f>VLOOKUP(A60, 'WMS Attendance'!B:G, 2, FALSE)</f>
        <v>30ES032T0A</v>
      </c>
      <c r="C60" s="8" t="s">
        <v>29</v>
      </c>
      <c r="D60" s="108" t="s">
        <v>10</v>
      </c>
      <c r="E60" s="22" t="str">
        <f>VLOOKUP(A60,'WMS Attendance'!B:G,6, FALSE)</f>
        <v>IN</v>
      </c>
      <c r="F60" s="23" t="str">
        <f>IF(ISBLANK(VLOOKUP(A60, 'WMS Attendance'!B:G, 5, FALSE)), "", VLOOKUP(A60, 'WMS Attendance'!B:G, 5, FALSE))</f>
        <v/>
      </c>
      <c r="G60" s="34"/>
      <c r="H60" s="98">
        <v>2</v>
      </c>
      <c r="I60" s="102">
        <v>0.4291666666666667</v>
      </c>
      <c r="J60" s="102">
        <v>0.17777777777777778</v>
      </c>
      <c r="K60" s="97"/>
      <c r="L60" s="99"/>
      <c r="M60" s="101"/>
      <c r="N60" s="105"/>
    </row>
    <row r="61" spans="1:14" x14ac:dyDescent="0.3">
      <c r="A61" s="86" t="s">
        <v>38</v>
      </c>
      <c r="B61" s="119" t="str">
        <f>VLOOKUP(A61, 'WMS Attendance'!B:G, 2, FALSE)</f>
        <v>30ES032X03</v>
      </c>
      <c r="C61" s="8" t="s">
        <v>29</v>
      </c>
      <c r="D61" s="108" t="s">
        <v>10</v>
      </c>
      <c r="E61" s="22" t="str">
        <f>VLOOKUP(A61,'WMS Attendance'!B:G,6, FALSE)</f>
        <v>IN</v>
      </c>
      <c r="F61" s="23" t="str">
        <f>IF(ISBLANK(VLOOKUP(A61, 'WMS Attendance'!B:G, 5, FALSE)), "", VLOOKUP(A61, 'WMS Attendance'!B:G, 5, FALSE))</f>
        <v/>
      </c>
      <c r="G61" s="34">
        <v>0.20833333333333334</v>
      </c>
      <c r="H61" s="98">
        <v>1</v>
      </c>
      <c r="I61" s="102">
        <v>0.4069444444444445</v>
      </c>
      <c r="J61" s="97"/>
      <c r="K61" s="97"/>
      <c r="L61" s="99"/>
      <c r="M61" s="101"/>
      <c r="N61" s="105"/>
    </row>
    <row r="62" spans="1:14" x14ac:dyDescent="0.3">
      <c r="A62" s="86" t="s">
        <v>39</v>
      </c>
      <c r="B62" s="119" t="str">
        <f>VLOOKUP(A62, 'WMS Attendance'!B:G, 2, FALSE)</f>
        <v>30ES032V0D</v>
      </c>
      <c r="C62" s="8" t="s">
        <v>29</v>
      </c>
      <c r="D62" s="108" t="s">
        <v>10</v>
      </c>
      <c r="E62" s="22" t="str">
        <f>VLOOKUP(A62,'WMS Attendance'!B:G,6, FALSE)</f>
        <v>IN</v>
      </c>
      <c r="F62" s="23" t="str">
        <f>IF(ISBLANK(VLOOKUP(A62, 'WMS Attendance'!B:G, 5, FALSE)), "", VLOOKUP(A62, 'WMS Attendance'!B:G, 5, FALSE))</f>
        <v/>
      </c>
      <c r="G62" s="21"/>
      <c r="H62" s="98">
        <v>2</v>
      </c>
      <c r="I62" s="102">
        <v>0.42569444444444443</v>
      </c>
      <c r="J62" s="102" t="s">
        <v>40</v>
      </c>
      <c r="K62" s="97"/>
      <c r="L62" s="99"/>
      <c r="M62" s="101"/>
      <c r="N62" s="105"/>
    </row>
    <row r="63" spans="1:14" x14ac:dyDescent="0.3">
      <c r="A63" s="86" t="s">
        <v>41</v>
      </c>
      <c r="B63" s="119" t="str">
        <f>VLOOKUP(A63, 'WMS Attendance'!B:G, 2, FALSE)</f>
        <v>30ES033A07 (CONF)</v>
      </c>
      <c r="C63" s="8" t="s">
        <v>29</v>
      </c>
      <c r="D63" s="108" t="s">
        <v>10</v>
      </c>
      <c r="E63" s="22" t="str">
        <f>VLOOKUP(A63,'WMS Attendance'!B:G,6, FALSE)</f>
        <v>IN</v>
      </c>
      <c r="F63" s="23" t="str">
        <f>IF(ISBLANK(VLOOKUP(A63, 'WMS Attendance'!B:G, 5, FALSE)), "", VLOOKUP(A63, 'WMS Attendance'!B:G, 5, FALSE))</f>
        <v/>
      </c>
      <c r="G63" s="21"/>
      <c r="H63" s="98">
        <v>1</v>
      </c>
      <c r="I63" s="102" t="s">
        <v>42</v>
      </c>
      <c r="J63" s="97"/>
      <c r="K63" s="97"/>
      <c r="L63" s="99"/>
      <c r="M63" s="101"/>
      <c r="N63" s="105"/>
    </row>
    <row r="64" spans="1:14" x14ac:dyDescent="0.3">
      <c r="A64" s="86" t="s">
        <v>43</v>
      </c>
      <c r="B64" s="119" t="str">
        <f>VLOOKUP(A64, 'WMS Attendance'!B:G, 2, FALSE)</f>
        <v>30ES033A03</v>
      </c>
      <c r="C64" s="8" t="s">
        <v>29</v>
      </c>
      <c r="D64" s="108" t="s">
        <v>10</v>
      </c>
      <c r="E64" s="22" t="str">
        <f>VLOOKUP(A64,'WMS Attendance'!B:G,6, FALSE)</f>
        <v>IN</v>
      </c>
      <c r="F64" s="23" t="str">
        <f>IF(ISBLANK(VLOOKUP(A64, 'WMS Attendance'!B:G, 5, FALSE)), "", VLOOKUP(A64, 'WMS Attendance'!B:G, 5, FALSE))</f>
        <v/>
      </c>
      <c r="G64" s="21"/>
      <c r="H64" s="98">
        <v>2</v>
      </c>
      <c r="I64" s="102">
        <v>0.4368055555555555</v>
      </c>
      <c r="J64" s="102">
        <v>0.18402777777777779</v>
      </c>
      <c r="K64" s="97"/>
      <c r="L64" s="99"/>
      <c r="M64" s="101"/>
      <c r="N64" s="105"/>
    </row>
    <row r="65" spans="1:15" x14ac:dyDescent="0.3">
      <c r="A65" s="86" t="s">
        <v>44</v>
      </c>
      <c r="B65" s="119" t="str">
        <f>VLOOKUP(A65, 'WMS Attendance'!B:G, 2, FALSE)</f>
        <v>30LS03AE0C</v>
      </c>
      <c r="C65" s="8" t="s">
        <v>29</v>
      </c>
      <c r="D65" s="108" t="s">
        <v>10</v>
      </c>
      <c r="E65" s="22" t="str">
        <f>VLOOKUP(A65,'WMS Attendance'!B:G,6, FALSE)</f>
        <v>IN</v>
      </c>
      <c r="F65" s="23" t="str">
        <f>IF(ISBLANK(VLOOKUP(A65, 'WMS Attendance'!B:G, 5, FALSE)), "", VLOOKUP(A65, 'WMS Attendance'!B:G, 5, FALSE))</f>
        <v>In special project no CIOs MR</v>
      </c>
      <c r="G65" s="21"/>
      <c r="H65" s="89" t="s">
        <v>45</v>
      </c>
      <c r="I65" s="90"/>
      <c r="J65" s="102"/>
      <c r="K65" s="97"/>
      <c r="L65" s="99"/>
      <c r="M65" s="101"/>
      <c r="N65" s="105"/>
    </row>
    <row r="66" spans="1:15" x14ac:dyDescent="0.3">
      <c r="A66" s="86" t="s">
        <v>65</v>
      </c>
      <c r="B66" s="119" t="str">
        <f>VLOOKUP(A66, 'WMS Attendance'!B:G, 2, FALSE)</f>
        <v>30LS03V804</v>
      </c>
      <c r="C66" s="8" t="s">
        <v>29</v>
      </c>
      <c r="D66" s="108" t="s">
        <v>1206</v>
      </c>
      <c r="E66" s="22" t="str">
        <f>VLOOKUP(A66,'WMS Attendance'!B:G,6, FALSE)</f>
        <v>IN</v>
      </c>
      <c r="F66" s="23" t="str">
        <f>IF(ISBLANK(VLOOKUP(A66, 'WMS Attendance'!B:G, 5, FALSE)), "", VLOOKUP(A66, 'WMS Attendance'!B:G, 5, FALSE))</f>
        <v/>
      </c>
      <c r="G66" s="34">
        <v>0.20833333333333334</v>
      </c>
      <c r="H66" s="98">
        <v>1</v>
      </c>
      <c r="I66" s="102">
        <v>0.45347222222222222</v>
      </c>
      <c r="J66" s="102"/>
      <c r="K66" s="97"/>
      <c r="L66" s="99"/>
      <c r="M66" s="101"/>
      <c r="N66" s="105"/>
    </row>
    <row r="67" spans="1:15" x14ac:dyDescent="0.3">
      <c r="A67" s="86" t="s">
        <v>67</v>
      </c>
      <c r="B67" s="119" t="str">
        <f>VLOOKUP(A67, 'WMS Attendance'!B:G, 2, FALSE)</f>
        <v>30ES033007</v>
      </c>
      <c r="C67" s="8" t="s">
        <v>29</v>
      </c>
      <c r="D67" s="108" t="s">
        <v>1207</v>
      </c>
      <c r="E67" s="22" t="str">
        <f>VLOOKUP(A67,'WMS Attendance'!B:G,6, FALSE)</f>
        <v>IN</v>
      </c>
      <c r="F67" s="23" t="str">
        <f>IF(ISBLANK(VLOOKUP(A67, 'WMS Attendance'!B:G, 5, FALSE)), "", VLOOKUP(A67, 'WMS Attendance'!B:G, 5, FALSE))</f>
        <v/>
      </c>
      <c r="G67" s="21"/>
      <c r="H67" s="98">
        <v>2</v>
      </c>
      <c r="I67" s="102" t="s">
        <v>68</v>
      </c>
      <c r="J67" s="102">
        <v>0.19375000000000001</v>
      </c>
      <c r="K67" s="97"/>
      <c r="L67" s="99"/>
      <c r="M67" s="101"/>
      <c r="N67" s="105"/>
    </row>
    <row r="68" spans="1:15" x14ac:dyDescent="0.3">
      <c r="A68" s="86" t="s">
        <v>73</v>
      </c>
      <c r="B68" s="119" t="str">
        <f>VLOOKUP(A68, 'WMS Attendance'!B:G, 2, FALSE)</f>
        <v>30ES032T0C</v>
      </c>
      <c r="C68" s="8" t="s">
        <v>29</v>
      </c>
      <c r="D68" s="108" t="s">
        <v>13</v>
      </c>
      <c r="E68" s="22" t="str">
        <f>VLOOKUP(A68,'WMS Attendance'!B:G,6, FALSE)</f>
        <v>IN</v>
      </c>
      <c r="F68" s="23" t="str">
        <f>IF(ISBLANK(VLOOKUP(A68, 'WMS Attendance'!B:G, 5, FALSE)), "", VLOOKUP(A68, 'WMS Attendance'!B:G, 5, FALSE))</f>
        <v/>
      </c>
      <c r="G68" s="21"/>
      <c r="H68" s="98">
        <v>3</v>
      </c>
      <c r="I68" s="102">
        <v>0.34791666666666665</v>
      </c>
      <c r="J68" s="102">
        <v>0.49583333333333335</v>
      </c>
      <c r="K68" s="102">
        <v>0.17222222222222225</v>
      </c>
      <c r="L68" s="99"/>
      <c r="M68" s="101"/>
      <c r="N68" s="105"/>
    </row>
    <row r="69" spans="1:15" x14ac:dyDescent="0.3">
      <c r="A69" s="86" t="s">
        <v>74</v>
      </c>
      <c r="B69" s="119" t="str">
        <f>VLOOKUP(A69, 'WMS Attendance'!B:G, 2, FALSE)</f>
        <v>30ES033C03</v>
      </c>
      <c r="C69" s="8" t="s">
        <v>29</v>
      </c>
      <c r="D69" s="108" t="s">
        <v>13</v>
      </c>
      <c r="E69" s="22" t="str">
        <f>VLOOKUP(A69,'WMS Attendance'!B:G,6, FALSE)</f>
        <v>IN</v>
      </c>
      <c r="F69" s="23" t="str">
        <f>IF(ISBLANK(VLOOKUP(A69, 'WMS Attendance'!B:G, 5, FALSE)), "", VLOOKUP(A69, 'WMS Attendance'!B:G, 5, FALSE))</f>
        <v/>
      </c>
      <c r="G69" s="21"/>
      <c r="H69" s="98">
        <v>3</v>
      </c>
      <c r="I69" s="102">
        <v>0.39097222222222222</v>
      </c>
      <c r="J69" s="102" t="s">
        <v>75</v>
      </c>
      <c r="K69" s="102">
        <v>0.17222222222222225</v>
      </c>
      <c r="L69" s="99"/>
      <c r="M69" s="101"/>
      <c r="N69" s="105"/>
    </row>
    <row r="70" spans="1:15" x14ac:dyDescent="0.3">
      <c r="A70" s="86" t="s">
        <v>76</v>
      </c>
      <c r="B70" s="119" t="str">
        <f>VLOOKUP(A70, 'WMS Attendance'!B:G, 2, FALSE)</f>
        <v>30LS03AE06</v>
      </c>
      <c r="C70" s="8" t="s">
        <v>29</v>
      </c>
      <c r="D70" s="108" t="s">
        <v>13</v>
      </c>
      <c r="E70" s="22" t="str">
        <f>VLOOKUP(A70,'WMS Attendance'!B:G,6, FALSE)</f>
        <v>IN</v>
      </c>
      <c r="F70" s="23" t="str">
        <f>IF(ISBLANK(VLOOKUP(A70, 'WMS Attendance'!B:G, 5, FALSE)), "", VLOOKUP(A70, 'WMS Attendance'!B:G, 5, FALSE))</f>
        <v/>
      </c>
      <c r="G70" s="21"/>
      <c r="H70" s="89">
        <v>2</v>
      </c>
      <c r="I70" s="90">
        <v>0.39583333333333331</v>
      </c>
      <c r="J70" s="102">
        <v>7.1527777777777787E-2</v>
      </c>
      <c r="K70" s="102"/>
      <c r="L70" s="99"/>
      <c r="M70" s="101"/>
      <c r="N70" s="105"/>
    </row>
    <row r="71" spans="1:15" x14ac:dyDescent="0.3">
      <c r="A71" s="86" t="s">
        <v>77</v>
      </c>
      <c r="B71" s="119" t="str">
        <f>VLOOKUP(A71, 'WMS Attendance'!B:G, 2, FALSE)</f>
        <v>30ES033C0E</v>
      </c>
      <c r="C71" s="8" t="s">
        <v>29</v>
      </c>
      <c r="D71" s="108" t="s">
        <v>13</v>
      </c>
      <c r="E71" s="22" t="str">
        <f>VLOOKUP(A71,'WMS Attendance'!B:G,6, FALSE)</f>
        <v>IN</v>
      </c>
      <c r="F71" s="23" t="str">
        <f>IF(ISBLANK(VLOOKUP(A71, 'WMS Attendance'!B:G, 5, FALSE)), "", VLOOKUP(A71, 'WMS Attendance'!B:G, 5, FALSE))</f>
        <v/>
      </c>
      <c r="G71" s="34">
        <v>0.20833333333333334</v>
      </c>
      <c r="H71" s="98">
        <v>4</v>
      </c>
      <c r="I71" s="103">
        <v>0.35069444444444442</v>
      </c>
      <c r="J71" s="102">
        <v>0.5180555555555556</v>
      </c>
      <c r="K71" s="102" t="s">
        <v>78</v>
      </c>
      <c r="L71" s="99" t="s">
        <v>79</v>
      </c>
      <c r="M71" s="101"/>
      <c r="N71" s="105"/>
    </row>
    <row r="72" spans="1:15" x14ac:dyDescent="0.3">
      <c r="A72" s="86" t="s">
        <v>80</v>
      </c>
      <c r="B72" s="119" t="str">
        <f>VLOOKUP(A72, 'WMS Attendance'!B:G, 2, FALSE)</f>
        <v>30LS03V805</v>
      </c>
      <c r="C72" s="8" t="s">
        <v>29</v>
      </c>
      <c r="D72" s="108" t="s">
        <v>13</v>
      </c>
      <c r="E72" s="22" t="str">
        <f>VLOOKUP(A72,'WMS Attendance'!B:G,6, FALSE)</f>
        <v>IN</v>
      </c>
      <c r="F72" s="23" t="str">
        <f>IF(ISBLANK(VLOOKUP(A72, 'WMS Attendance'!B:G, 5, FALSE)), "", VLOOKUP(A72, 'WMS Attendance'!B:G, 5, FALSE))</f>
        <v/>
      </c>
      <c r="G72" s="21"/>
      <c r="H72" s="98">
        <v>3</v>
      </c>
      <c r="I72" s="103">
        <v>0.40138888888888885</v>
      </c>
      <c r="J72" s="102" t="s">
        <v>81</v>
      </c>
      <c r="K72" s="102">
        <v>0.17083333333333331</v>
      </c>
      <c r="L72" s="99"/>
      <c r="M72" s="101"/>
      <c r="N72" s="105"/>
    </row>
    <row r="73" spans="1:15" x14ac:dyDescent="0.3">
      <c r="A73" s="86" t="s">
        <v>82</v>
      </c>
      <c r="B73" s="119" t="str">
        <f>VLOOKUP(A73, 'WMS Attendance'!B:G, 2, FALSE)</f>
        <v>30LS03AE07</v>
      </c>
      <c r="C73" s="8" t="s">
        <v>29</v>
      </c>
      <c r="D73" s="108" t="s">
        <v>13</v>
      </c>
      <c r="E73" s="22" t="str">
        <f>VLOOKUP(A73,'WMS Attendance'!B:G,6, FALSE)</f>
        <v>IN</v>
      </c>
      <c r="F73" s="23" t="str">
        <f>IF(ISBLANK(VLOOKUP(A73, 'WMS Attendance'!B:G, 5, FALSE)), "", VLOOKUP(A73, 'WMS Attendance'!B:G, 5, FALSE))</f>
        <v/>
      </c>
      <c r="G73" s="21"/>
      <c r="H73" s="98">
        <v>2</v>
      </c>
      <c r="I73" s="102">
        <v>0.44861111111111113</v>
      </c>
      <c r="J73" s="102">
        <v>7.5694444444444439E-2</v>
      </c>
      <c r="K73" s="97"/>
      <c r="L73" s="99"/>
      <c r="M73" s="101"/>
      <c r="N73" s="105"/>
    </row>
    <row r="74" spans="1:15" x14ac:dyDescent="0.3">
      <c r="A74" s="86" t="s">
        <v>83</v>
      </c>
      <c r="B74" s="119" t="str">
        <f>VLOOKUP(A74, 'WMS Attendance'!B:G, 2, FALSE)</f>
        <v>30LS03G40A</v>
      </c>
      <c r="C74" s="8" t="s">
        <v>29</v>
      </c>
      <c r="D74" s="108" t="s">
        <v>13</v>
      </c>
      <c r="E74" s="22" t="str">
        <f>VLOOKUP(A74,'WMS Attendance'!B:G,6, FALSE)</f>
        <v>IN</v>
      </c>
      <c r="F74" s="23" t="str">
        <f>IF(ISBLANK(VLOOKUP(A74, 'WMS Attendance'!B:G, 5, FALSE)), "", VLOOKUP(A74, 'WMS Attendance'!B:G, 5, FALSE))</f>
        <v/>
      </c>
      <c r="G74" s="34">
        <v>0.20833333333333334</v>
      </c>
      <c r="H74" s="98">
        <v>2</v>
      </c>
      <c r="I74" s="102">
        <v>0.42291666666666666</v>
      </c>
      <c r="J74" s="102">
        <v>7.7083333333333337E-2</v>
      </c>
      <c r="K74" s="102"/>
      <c r="L74" s="99"/>
      <c r="M74" s="101"/>
      <c r="N74" s="105"/>
    </row>
    <row r="75" spans="1:15" x14ac:dyDescent="0.3">
      <c r="A75" s="86" t="s">
        <v>84</v>
      </c>
      <c r="B75" s="119" t="str">
        <f>VLOOKUP(A75, 'WMS Attendance'!B:G, 2, FALSE)</f>
        <v>30LS038Y07</v>
      </c>
      <c r="C75" s="8" t="s">
        <v>29</v>
      </c>
      <c r="D75" s="108" t="s">
        <v>13</v>
      </c>
      <c r="E75" s="22" t="str">
        <f>VLOOKUP(A75,'WMS Attendance'!B:G,6, FALSE)</f>
        <v>IN</v>
      </c>
      <c r="F75" s="23" t="str">
        <f>IF(ISBLANK(VLOOKUP(A75, 'WMS Attendance'!B:G, 5, FALSE)), "", VLOOKUP(A75, 'WMS Attendance'!B:G, 5, FALSE))</f>
        <v/>
      </c>
      <c r="G75" s="34">
        <v>0.20833333333333334</v>
      </c>
      <c r="H75" s="98">
        <v>2</v>
      </c>
      <c r="I75" s="102">
        <v>0.45833333333333331</v>
      </c>
      <c r="J75" s="102">
        <v>7.8472222222222221E-2</v>
      </c>
      <c r="K75" s="102"/>
      <c r="L75" s="99"/>
      <c r="M75" s="101"/>
      <c r="N75" s="105"/>
    </row>
    <row r="76" spans="1:15" x14ac:dyDescent="0.3">
      <c r="A76" s="112" t="s">
        <v>85</v>
      </c>
      <c r="B76" s="119" t="str">
        <f>VLOOKUP(A76, 'WMS Attendance'!B:G, 2, FALSE)</f>
        <v>30LS03YL09</v>
      </c>
      <c r="C76" s="8" t="s">
        <v>29</v>
      </c>
      <c r="D76" s="108" t="s">
        <v>13</v>
      </c>
      <c r="E76" s="22" t="str">
        <f>VLOOKUP(A76,'WMS Attendance'!B:G,6, FALSE)</f>
        <v>IN</v>
      </c>
      <c r="F76" s="23" t="str">
        <f>IF(ISBLANK(VLOOKUP(A76, 'WMS Attendance'!B:G, 5, FALSE)), "", VLOOKUP(A76, 'WMS Attendance'!B:G, 5, FALSE))</f>
        <v/>
      </c>
      <c r="G76" s="21"/>
      <c r="H76" s="89">
        <v>4</v>
      </c>
      <c r="I76" s="90">
        <v>0.46597222222222223</v>
      </c>
      <c r="J76" s="102">
        <v>0.10069444444444443</v>
      </c>
      <c r="K76" s="102" t="s">
        <v>86</v>
      </c>
      <c r="L76" s="99" t="s">
        <v>87</v>
      </c>
      <c r="M76" s="101"/>
      <c r="N76" s="105"/>
    </row>
    <row r="77" spans="1:15" x14ac:dyDescent="0.3">
      <c r="A77" s="86" t="s">
        <v>88</v>
      </c>
      <c r="B77" s="119" t="str">
        <f>VLOOKUP(A77, 'WMS Attendance'!B:G, 2, FALSE)</f>
        <v>30ES033A06</v>
      </c>
      <c r="C77" s="8" t="s">
        <v>29</v>
      </c>
      <c r="D77" s="108" t="s">
        <v>13</v>
      </c>
      <c r="E77" s="22" t="str">
        <f>VLOOKUP(A77,'WMS Attendance'!B:G,6, FALSE)</f>
        <v>IN</v>
      </c>
      <c r="F77" s="23" t="str">
        <f>IF(ISBLANK(VLOOKUP(A77, 'WMS Attendance'!B:G, 5, FALSE)), "", VLOOKUP(A77, 'WMS Attendance'!B:G, 5, FALSE))</f>
        <v/>
      </c>
      <c r="G77" s="34">
        <v>0.20833333333333334</v>
      </c>
      <c r="H77" s="89">
        <v>2</v>
      </c>
      <c r="I77" s="90">
        <v>0.34583333333333338</v>
      </c>
      <c r="J77" s="102">
        <v>6.6666666666666666E-2</v>
      </c>
      <c r="K77" s="97"/>
      <c r="L77" s="99"/>
      <c r="M77" s="101"/>
      <c r="N77" s="105"/>
      <c r="O77" s="12"/>
    </row>
    <row r="78" spans="1:15" hidden="1" x14ac:dyDescent="0.3">
      <c r="A78" s="86" t="s">
        <v>114</v>
      </c>
      <c r="B78" s="119" t="str">
        <f>VLOOKUP(A78, 'WMS Attendance'!B:G, 2, FALSE)</f>
        <v>30LS03KO04</v>
      </c>
      <c r="C78" s="8" t="s">
        <v>29</v>
      </c>
      <c r="D78" s="108" t="s">
        <v>115</v>
      </c>
      <c r="E78" s="22" t="str">
        <f>VLOOKUP(A78,'WMS Attendance'!B:G,6, FALSE)</f>
        <v>IN - Off Board</v>
      </c>
      <c r="F78" s="23" t="str">
        <f>IF(ISBLANK(VLOOKUP(A78, 'WMS Attendance'!B:G, 5, FALSE)), "", VLOOKUP(A78, 'WMS Attendance'!B:G, 5, FALSE))</f>
        <v>CST - No CIOs - SD</v>
      </c>
      <c r="G78" s="21"/>
      <c r="H78" s="98"/>
      <c r="I78" s="97"/>
      <c r="J78" s="97"/>
      <c r="K78" s="97"/>
      <c r="L78" s="99"/>
      <c r="M78" s="101"/>
      <c r="N78" s="105"/>
    </row>
    <row r="79" spans="1:15" x14ac:dyDescent="0.3">
      <c r="A79" s="86" t="s">
        <v>89</v>
      </c>
      <c r="B79" s="119" t="str">
        <f>VLOOKUP(A79, 'WMS Attendance'!B:G, 2, FALSE)</f>
        <v>30ES032W03</v>
      </c>
      <c r="C79" s="8" t="s">
        <v>29</v>
      </c>
      <c r="D79" s="108" t="s">
        <v>13</v>
      </c>
      <c r="E79" s="22" t="str">
        <f>VLOOKUP(A79,'WMS Attendance'!B:G,6, FALSE)</f>
        <v>IN</v>
      </c>
      <c r="F79" s="23" t="str">
        <f>IF(ISBLANK(VLOOKUP(A79, 'WMS Attendance'!B:G, 5, FALSE)), "", VLOOKUP(A79, 'WMS Attendance'!B:G, 5, FALSE))</f>
        <v/>
      </c>
      <c r="G79" s="21"/>
      <c r="H79" s="98">
        <v>2</v>
      </c>
      <c r="I79" s="102">
        <v>0.45416666666666666</v>
      </c>
      <c r="J79" s="102">
        <v>0.13263888888888889</v>
      </c>
      <c r="K79" s="97"/>
      <c r="L79" s="99"/>
      <c r="M79" s="101"/>
      <c r="N79" s="105"/>
    </row>
    <row r="80" spans="1:15" x14ac:dyDescent="0.3">
      <c r="A80" s="86" t="s">
        <v>117</v>
      </c>
      <c r="B80" s="119" t="str">
        <f>VLOOKUP(A80, 'WMS Attendance'!B:G, 2, FALSE)</f>
        <v>30LS03YL02</v>
      </c>
      <c r="C80" s="8" t="s">
        <v>29</v>
      </c>
      <c r="D80" s="108" t="s">
        <v>10</v>
      </c>
      <c r="E80" s="22" t="str">
        <f>VLOOKUP(A80,'WMS Attendance'!B:G,6, FALSE)</f>
        <v>IN - Off Board</v>
      </c>
      <c r="F80" s="23" t="str">
        <f>IF(ISBLANK(VLOOKUP(A80, 'WMS Attendance'!B:G, 5, FALSE)), "", VLOOKUP(A80, 'WMS Attendance'!B:G, 5, FALSE))</f>
        <v>CST - No CIOs - SD</v>
      </c>
      <c r="G80" s="21"/>
      <c r="H80" s="98"/>
      <c r="I80" s="97"/>
      <c r="J80" s="97"/>
      <c r="K80" s="97"/>
      <c r="L80" s="99"/>
      <c r="M80" s="101"/>
      <c r="N80" s="105"/>
    </row>
    <row r="81" spans="1:14" x14ac:dyDescent="0.3">
      <c r="A81" s="86" t="s">
        <v>118</v>
      </c>
      <c r="B81" s="119" t="str">
        <f>VLOOKUP(A81, 'WMS Attendance'!B:G, 2, FALSE)</f>
        <v>30ES032W04</v>
      </c>
      <c r="C81" s="8" t="s">
        <v>29</v>
      </c>
      <c r="D81" s="108" t="s">
        <v>10</v>
      </c>
      <c r="E81" s="22" t="str">
        <f>VLOOKUP(A81,'WMS Attendance'!B:G,6, FALSE)</f>
        <v>IN - Off Board</v>
      </c>
      <c r="F81" s="23" t="str">
        <f>IF(ISBLANK(VLOOKUP(A81, 'WMS Attendance'!B:G, 5, FALSE)), "", VLOOKUP(A81, 'WMS Attendance'!B:G, 5, FALSE))</f>
        <v>CST asistance---NO CIO--PCN</v>
      </c>
      <c r="G81" s="21"/>
      <c r="H81" s="98">
        <v>1</v>
      </c>
      <c r="I81" s="102">
        <v>0.12361111111111112</v>
      </c>
      <c r="J81" s="97"/>
      <c r="K81" s="97"/>
      <c r="L81" s="99"/>
      <c r="M81" s="101"/>
      <c r="N81" s="105"/>
    </row>
    <row r="82" spans="1:14" x14ac:dyDescent="0.3">
      <c r="A82" s="86" t="s">
        <v>119</v>
      </c>
      <c r="B82" s="119" t="str">
        <f>VLOOKUP(A82, 'WMS Attendance'!B:G, 2, FALSE)</f>
        <v>30ES032W0G</v>
      </c>
      <c r="C82" s="8" t="s">
        <v>29</v>
      </c>
      <c r="D82" s="108" t="s">
        <v>10</v>
      </c>
      <c r="E82" s="22" t="str">
        <f>VLOOKUP(A82,'WMS Attendance'!B:G,6, FALSE)</f>
        <v>IN - Off Board</v>
      </c>
      <c r="F82" s="23" t="str">
        <f>IF(ISBLANK(VLOOKUP(A82, 'WMS Attendance'!B:G, 5, FALSE)), "", VLOOKUP(A82, 'WMS Attendance'!B:G, 5, FALSE))</f>
        <v>CST asistance---NO CIO--PCN</v>
      </c>
      <c r="G82" s="21"/>
      <c r="H82" s="98" t="s">
        <v>120</v>
      </c>
      <c r="I82" s="102"/>
      <c r="J82" s="97"/>
      <c r="K82" s="102"/>
      <c r="L82" s="99"/>
      <c r="M82" s="101"/>
      <c r="N82" s="105"/>
    </row>
    <row r="83" spans="1:14" x14ac:dyDescent="0.3">
      <c r="A83" s="86" t="s">
        <v>121</v>
      </c>
      <c r="B83" s="119" t="str">
        <f>VLOOKUP(A83, 'WMS Attendance'!B:G, 2, FALSE)</f>
        <v>30ES033A0G</v>
      </c>
      <c r="C83" s="8" t="s">
        <v>29</v>
      </c>
      <c r="D83" s="108" t="s">
        <v>10</v>
      </c>
      <c r="E83" s="22" t="str">
        <f>VLOOKUP(A83,'WMS Attendance'!B:G,6, FALSE)</f>
        <v>IN - Off Board</v>
      </c>
      <c r="F83" s="23" t="str">
        <f>IF(ISBLANK(VLOOKUP(A83, 'WMS Attendance'!B:G, 5, FALSE)), "", VLOOKUP(A83, 'WMS Attendance'!B:G, 5, FALSE))</f>
        <v>Mentor - No Cios, No Tasks - AS</v>
      </c>
      <c r="G83" s="34">
        <v>0.20833333333333334</v>
      </c>
      <c r="H83" s="98"/>
      <c r="I83" s="102"/>
      <c r="J83" s="97"/>
      <c r="K83" s="97"/>
      <c r="L83" s="99"/>
      <c r="M83" s="101"/>
      <c r="N83" s="105"/>
    </row>
    <row r="84" spans="1:14" x14ac:dyDescent="0.3">
      <c r="A84" s="86" t="s">
        <v>122</v>
      </c>
      <c r="B84" s="119" t="str">
        <f>VLOOKUP(A84, 'WMS Attendance'!B:G, 2, FALSE)</f>
        <v>30ES033A0D</v>
      </c>
      <c r="C84" s="8" t="s">
        <v>29</v>
      </c>
      <c r="D84" s="108" t="s">
        <v>10</v>
      </c>
      <c r="E84" s="121" t="str">
        <f>VLOOKUP(A84,'WMS Attendance'!B:G,6, FALSE)</f>
        <v>IN - Off Board</v>
      </c>
      <c r="F84" s="42" t="str">
        <f>IF(ISBLANK(VLOOKUP(A84, 'WMS Attendance'!B:G, 5, FALSE)), "", VLOOKUP(A84, 'WMS Attendance'!B:G, 5, FALSE))</f>
        <v>Mentor - No Cios, No Tasks - AS</v>
      </c>
      <c r="G84" s="21"/>
      <c r="H84" s="98"/>
      <c r="I84" s="97"/>
      <c r="J84" s="97"/>
      <c r="K84" s="97"/>
      <c r="L84" s="99"/>
      <c r="M84" s="101"/>
      <c r="N84" s="105"/>
    </row>
    <row r="85" spans="1:14" x14ac:dyDescent="0.3">
      <c r="A85" s="87" t="s">
        <v>123</v>
      </c>
      <c r="B85" s="119" t="str">
        <f>VLOOKUP(A85, 'WMS Attendance'!B:G, 2, FALSE)</f>
        <v>30LS03G406</v>
      </c>
      <c r="C85" s="8" t="s">
        <v>29</v>
      </c>
      <c r="D85" s="108" t="s">
        <v>10</v>
      </c>
      <c r="E85" s="122" t="str">
        <f>VLOOKUP(A85,'WMS Attendance'!B:G,6, FALSE)</f>
        <v>IN - Off Board</v>
      </c>
      <c r="F85" s="42" t="str">
        <f>IF(ISBLANK(VLOOKUP(A85, 'WMS Attendance'!B:G, 5, FALSE)), "", VLOOKUP(A85, 'WMS Attendance'!B:G, 5, FALSE))</f>
        <v>No CIOs</v>
      </c>
      <c r="G85" s="34">
        <v>0.20833333333333334</v>
      </c>
      <c r="H85" s="113">
        <v>1</v>
      </c>
      <c r="I85" s="117">
        <v>0.3576388888888889</v>
      </c>
      <c r="J85" s="114"/>
      <c r="K85" s="114"/>
      <c r="L85" s="115"/>
      <c r="M85" s="116"/>
      <c r="N85" s="105"/>
    </row>
    <row r="86" spans="1:14" x14ac:dyDescent="0.3">
      <c r="A86" s="88" t="s">
        <v>124</v>
      </c>
      <c r="B86" s="119" t="str">
        <f>VLOOKUP(A86, 'WMS Attendance'!B:G, 2, FALSE)</f>
        <v>30LS03VQ02</v>
      </c>
      <c r="C86" s="8" t="s">
        <v>125</v>
      </c>
      <c r="D86" s="108" t="s">
        <v>10</v>
      </c>
      <c r="E86" s="56" t="str">
        <f>VLOOKUP(A86,'WMS Attendance'!B:G,6, FALSE)</f>
        <v>IN - Off Board</v>
      </c>
      <c r="F86" s="42" t="str">
        <f>IF(ISBLANK(VLOOKUP(A86, 'WMS Attendance'!B:G, 5, FALSE)), "", VLOOKUP(A86, 'WMS Attendance'!B:G, 5, FALSE))</f>
        <v>No CIOs or Tasks - Task Force (VG)</v>
      </c>
      <c r="G86" s="21"/>
      <c r="H86" s="89"/>
      <c r="I86" s="89"/>
      <c r="J86" s="89"/>
      <c r="K86" s="89"/>
      <c r="L86" s="91"/>
      <c r="M86" s="89"/>
      <c r="N86" s="105"/>
    </row>
    <row r="87" spans="1:14" x14ac:dyDescent="0.3">
      <c r="A87" s="88" t="s">
        <v>126</v>
      </c>
      <c r="B87" s="119" t="str">
        <f>VLOOKUP(A87, 'WMS Attendance'!B:G, 2, FALSE)</f>
        <v>30ES032W0I</v>
      </c>
      <c r="C87" s="8" t="s">
        <v>29</v>
      </c>
      <c r="D87" s="108" t="s">
        <v>1207</v>
      </c>
      <c r="E87" s="56" t="str">
        <f>VLOOKUP(A87,'WMS Attendance'!B:G,6, FALSE)</f>
        <v>IN - Off Board</v>
      </c>
      <c r="F87" s="42" t="str">
        <f>IF(ISBLANK(VLOOKUP(A87, 'WMS Attendance'!B:G, 5, FALSE)), "", VLOOKUP(A87, 'WMS Attendance'!B:G, 5, FALSE))</f>
        <v>CST asistance---NO CIO--PCN</v>
      </c>
      <c r="G87" s="34">
        <v>0.20833333333333334</v>
      </c>
      <c r="H87" s="89"/>
      <c r="I87" s="90"/>
      <c r="J87" s="90"/>
      <c r="K87" s="89"/>
      <c r="L87" s="91"/>
      <c r="M87" s="89"/>
      <c r="N87" s="105"/>
    </row>
    <row r="88" spans="1:14" x14ac:dyDescent="0.3">
      <c r="A88" s="88" t="s">
        <v>127</v>
      </c>
      <c r="B88" s="119" t="str">
        <f>VLOOKUP(A88, 'WMS Attendance'!B:G, 2, FALSE)</f>
        <v>30LS03V80A</v>
      </c>
      <c r="C88" s="8" t="s">
        <v>29</v>
      </c>
      <c r="D88" s="108" t="s">
        <v>13</v>
      </c>
      <c r="E88" s="56" t="str">
        <f>VLOOKUP(A88,'WMS Attendance'!B:G,6, FALSE)</f>
        <v>IN - Off Board</v>
      </c>
      <c r="F88" s="42" t="str">
        <f>IF(ISBLANK(VLOOKUP(A88, 'WMS Attendance'!B:G, 5, FALSE)), "", VLOOKUP(A88, 'WMS Attendance'!B:G, 5, FALSE))</f>
        <v>Assisting CST - TR</v>
      </c>
      <c r="G88" s="21"/>
      <c r="H88" s="89">
        <v>2</v>
      </c>
      <c r="I88" s="90">
        <v>0.45069444444444445</v>
      </c>
      <c r="J88" s="90">
        <v>7.7083333333333337E-2</v>
      </c>
      <c r="K88" s="90"/>
      <c r="L88" s="91"/>
      <c r="M88" s="89"/>
      <c r="N88" s="105"/>
    </row>
    <row r="89" spans="1:14" x14ac:dyDescent="0.3">
      <c r="A89" s="88" t="s">
        <v>128</v>
      </c>
      <c r="B89" s="119" t="str">
        <f>VLOOKUP(A89, 'WMS Attendance'!B:G, 2, FALSE)</f>
        <v>30ES03310C</v>
      </c>
      <c r="C89" s="8" t="s">
        <v>29</v>
      </c>
      <c r="D89" s="108" t="s">
        <v>13</v>
      </c>
      <c r="E89" s="56" t="str">
        <f>VLOOKUP(A89,'WMS Attendance'!B:G,6, FALSE)</f>
        <v>IN - Off Board</v>
      </c>
      <c r="F89" s="42" t="str">
        <f>IF(ISBLANK(VLOOKUP(A89, 'WMS Attendance'!B:G, 5, FALSE)), "", VLOOKUP(A89, 'WMS Attendance'!B:G, 5, FALSE))</f>
        <v>CST - No CIOs - SD</v>
      </c>
      <c r="G89" s="34">
        <v>0.20833333333333334</v>
      </c>
      <c r="H89" s="89" t="s">
        <v>120</v>
      </c>
      <c r="I89" s="90"/>
      <c r="J89" s="89"/>
      <c r="K89" s="89"/>
      <c r="L89" s="91"/>
      <c r="M89" s="89"/>
      <c r="N89" s="105"/>
    </row>
    <row r="90" spans="1:14" x14ac:dyDescent="0.3">
      <c r="A90" s="88" t="s">
        <v>129</v>
      </c>
      <c r="B90" s="119" t="str">
        <f>VLOOKUP(A90, 'WMS Attendance'!B:G, 2, FALSE)</f>
        <v>30ES033C0G</v>
      </c>
      <c r="C90" s="8" t="s">
        <v>29</v>
      </c>
      <c r="D90" s="108" t="s">
        <v>13</v>
      </c>
      <c r="E90" s="42" t="str">
        <f>VLOOKUP(A90,'WMS Attendance'!B:G,6, FALSE)</f>
        <v>IN - Off Board</v>
      </c>
      <c r="F90" s="23" t="str">
        <f>IF(ISBLANK(VLOOKUP(A90, 'WMS Attendance'!B:G, 5, FALSE)), "", VLOOKUP(A90, 'WMS Attendance'!B:G, 5, FALSE))</f>
        <v>CST - No CIOs - SD</v>
      </c>
      <c r="G90" s="21"/>
      <c r="H90" s="89"/>
      <c r="I90" s="89"/>
      <c r="J90" s="89"/>
      <c r="K90" s="89"/>
      <c r="L90" s="91"/>
      <c r="M90" s="89"/>
      <c r="N90" s="105"/>
    </row>
    <row r="91" spans="1:14" x14ac:dyDescent="0.3">
      <c r="A91" s="88" t="s">
        <v>130</v>
      </c>
      <c r="B91" s="119" t="str">
        <f>VLOOKUP(A91, 'WMS Attendance'!B:G, 2, FALSE)</f>
        <v>30ES033A0F</v>
      </c>
      <c r="C91" s="8" t="s">
        <v>29</v>
      </c>
      <c r="D91" s="108" t="s">
        <v>13</v>
      </c>
      <c r="E91" s="42" t="str">
        <f>VLOOKUP(A91,'WMS Attendance'!B:G,6, FALSE)</f>
        <v>IN - Off Board</v>
      </c>
      <c r="F91" s="23" t="str">
        <f>IF(ISBLANK(VLOOKUP(A91, 'WMS Attendance'!B:G, 5, FALSE)), "", VLOOKUP(A91, 'WMS Attendance'!B:G, 5, FALSE))</f>
        <v>Telecommuting - Mentor - No Cios, No Tasks - AS</v>
      </c>
      <c r="G91" s="34">
        <v>0.1875</v>
      </c>
      <c r="H91" s="89"/>
      <c r="I91" s="90"/>
      <c r="J91" s="90"/>
      <c r="K91" s="89"/>
      <c r="L91" s="91"/>
      <c r="M91" s="89"/>
      <c r="N91" s="105"/>
    </row>
    <row r="92" spans="1:14" x14ac:dyDescent="0.3">
      <c r="A92" s="88" t="s">
        <v>131</v>
      </c>
      <c r="B92" s="119" t="str">
        <f>VLOOKUP(A92, 'WMS Attendance'!B:G, 2, FALSE)</f>
        <v>30ES033A04</v>
      </c>
      <c r="C92" s="8" t="s">
        <v>29</v>
      </c>
      <c r="D92" s="108" t="s">
        <v>13</v>
      </c>
      <c r="E92" s="42" t="str">
        <f>VLOOKUP(A92,'WMS Attendance'!B:G,6, FALSE)</f>
        <v>IN - Off Board</v>
      </c>
      <c r="F92" s="23" t="str">
        <f>IF(ISBLANK(VLOOKUP(A92, 'WMS Attendance'!B:G, 5, FALSE)), "", VLOOKUP(A92, 'WMS Attendance'!B:G, 5, FALSE))</f>
        <v>Telecommuting - Mentor - No Cios, No Tasks - AS</v>
      </c>
      <c r="G92" s="34">
        <v>0.20833333333333334</v>
      </c>
      <c r="H92" s="89"/>
      <c r="I92" s="89"/>
      <c r="J92" s="89"/>
      <c r="K92" s="89"/>
      <c r="L92" s="91"/>
      <c r="M92" s="89"/>
      <c r="N92" s="105"/>
    </row>
    <row r="93" spans="1:14" x14ac:dyDescent="0.3">
      <c r="A93" s="88" t="s">
        <v>132</v>
      </c>
      <c r="B93" s="119" t="str">
        <f>VLOOKUP(A93, 'WMS Attendance'!B:G, 2, FALSE)</f>
        <v>30ES033A05</v>
      </c>
      <c r="C93" s="8" t="s">
        <v>29</v>
      </c>
      <c r="D93" s="108" t="s">
        <v>13</v>
      </c>
      <c r="E93" s="42" t="str">
        <f>VLOOKUP(A93,'WMS Attendance'!B:G,6, FALSE)</f>
        <v>IN - Off Board</v>
      </c>
      <c r="F93" s="23" t="str">
        <f>IF(ISBLANK(VLOOKUP(A93, 'WMS Attendance'!B:G, 5, FALSE)), "", VLOOKUP(A93, 'WMS Attendance'!B:G, 5, FALSE))</f>
        <v>Telecommuting - Mentor - No Cios, No Tasks - AS</v>
      </c>
      <c r="G93" s="34">
        <v>0.20833333333333334</v>
      </c>
      <c r="H93" s="89"/>
      <c r="I93" s="90"/>
      <c r="J93" s="90"/>
      <c r="K93" s="89"/>
      <c r="L93" s="91"/>
      <c r="M93" s="89"/>
      <c r="N93" s="105"/>
    </row>
    <row r="94" spans="1:14" x14ac:dyDescent="0.3">
      <c r="A94" s="88" t="s">
        <v>133</v>
      </c>
      <c r="B94" s="119" t="str">
        <f>VLOOKUP(A94, 'WMS Attendance'!B:G, 2, FALSE)</f>
        <v>30LS03VQ01</v>
      </c>
      <c r="C94" s="8" t="s">
        <v>125</v>
      </c>
      <c r="D94" s="108" t="s">
        <v>13</v>
      </c>
      <c r="E94" s="42" t="str">
        <f>VLOOKUP(A94,'WMS Attendance'!B:G,6, FALSE)</f>
        <v>IN - Off Board</v>
      </c>
      <c r="F94" s="23" t="str">
        <f>IF(ISBLANK(VLOOKUP(A94, 'WMS Attendance'!B:G, 5, FALSE)), "", VLOOKUP(A94, 'WMS Attendance'!B:G, 5, FALSE))</f>
        <v>No CIOs or Tasks - Task Force (VG)</v>
      </c>
      <c r="G94" s="21"/>
      <c r="H94" s="89"/>
      <c r="I94" s="89"/>
      <c r="J94" s="89"/>
      <c r="K94" s="89"/>
      <c r="L94" s="91"/>
      <c r="M94" s="89"/>
      <c r="N94" s="105"/>
    </row>
    <row r="95" spans="1:14" x14ac:dyDescent="0.3">
      <c r="A95" s="88" t="s">
        <v>134</v>
      </c>
      <c r="B95" s="119" t="str">
        <f>VLOOKUP(A95, 'WMS Attendance'!B:G, 2, FALSE)</f>
        <v>30LS03VQ09</v>
      </c>
      <c r="C95" s="8" t="s">
        <v>125</v>
      </c>
      <c r="D95" s="108" t="s">
        <v>13</v>
      </c>
      <c r="E95" s="42" t="str">
        <f>VLOOKUP(A95,'WMS Attendance'!B:G,6, FALSE)</f>
        <v>IN - Off Board</v>
      </c>
      <c r="F95" s="23" t="str">
        <f>IF(ISBLANK(VLOOKUP(A95, 'WMS Attendance'!B:G, 5, FALSE)), "", VLOOKUP(A95, 'WMS Attendance'!B:G, 5, FALSE))</f>
        <v>No CIOs or Tasks - Task Force (VG)</v>
      </c>
      <c r="G95" s="21"/>
      <c r="H95" s="89"/>
      <c r="I95" s="89"/>
      <c r="J95" s="89"/>
      <c r="K95" s="89"/>
      <c r="L95" s="91"/>
      <c r="M95" s="89"/>
      <c r="N95" s="105"/>
    </row>
    <row r="96" spans="1:14" x14ac:dyDescent="0.3">
      <c r="A96" s="88" t="s">
        <v>139</v>
      </c>
      <c r="B96" s="119" t="str">
        <f>VLOOKUP(A96, 'WMS Attendance'!B:G, 2, FALSE)</f>
        <v>30LS035K0K (Restricted)</v>
      </c>
      <c r="C96" s="8" t="s">
        <v>29</v>
      </c>
      <c r="D96" s="108" t="s">
        <v>10</v>
      </c>
      <c r="E96" s="42" t="str">
        <f>VLOOKUP(A96,'WMS Attendance'!B:G,6, FALSE)</f>
        <v>IN - SpecialProject</v>
      </c>
      <c r="F96" s="23" t="str">
        <f>IF(ISBLANK(VLOOKUP(A96, 'WMS Attendance'!B:G, 5, FALSE)), "", VLOOKUP(A96, 'WMS Attendance'!B:G, 5, FALSE))</f>
        <v>No CIOs</v>
      </c>
      <c r="G96" s="82" t="s">
        <v>47</v>
      </c>
      <c r="H96" s="89">
        <v>2</v>
      </c>
      <c r="I96" s="90" t="s">
        <v>140</v>
      </c>
      <c r="J96" s="90">
        <v>4.9999999999999996E-2</v>
      </c>
      <c r="K96" s="89"/>
      <c r="L96" s="91"/>
      <c r="M96" s="89"/>
      <c r="N96" s="105"/>
    </row>
    <row r="97" spans="1:15" x14ac:dyDescent="0.3">
      <c r="A97" s="88" t="s">
        <v>135</v>
      </c>
      <c r="B97" s="119" t="str">
        <f>VLOOKUP(A97, 'WMS Attendance'!B:G, 2, FALSE)</f>
        <v>30LS03KO0D</v>
      </c>
      <c r="C97" s="8" t="s">
        <v>29</v>
      </c>
      <c r="D97" s="108" t="s">
        <v>10</v>
      </c>
      <c r="E97" s="42" t="str">
        <f>VLOOKUP(A97,'WMS Attendance'!B:G,6, FALSE)</f>
        <v>IN - SpecialProject</v>
      </c>
      <c r="F97" s="23" t="str">
        <f>IF(ISBLANK(VLOOKUP(A97, 'WMS Attendance'!B:G, 5, FALSE)), "", VLOOKUP(A97, 'WMS Attendance'!B:G, 5, FALSE))</f>
        <v>NO CIO-MC</v>
      </c>
      <c r="G97" s="21"/>
      <c r="H97" s="89"/>
      <c r="I97" s="89"/>
      <c r="J97" s="89"/>
      <c r="K97" s="89"/>
      <c r="L97" s="91"/>
      <c r="M97" s="89"/>
      <c r="N97" s="105"/>
    </row>
    <row r="98" spans="1:15" x14ac:dyDescent="0.3">
      <c r="A98" s="88" t="s">
        <v>136</v>
      </c>
      <c r="B98" s="119" t="str">
        <f>VLOOKUP(A98, 'WMS Attendance'!B:G, 2, FALSE)</f>
        <v>30LS03KO06</v>
      </c>
      <c r="C98" s="8" t="s">
        <v>29</v>
      </c>
      <c r="D98" s="108" t="s">
        <v>10</v>
      </c>
      <c r="E98" s="42" t="str">
        <f>VLOOKUP(A98,'WMS Attendance'!B:G,6, FALSE)</f>
        <v>IN - SpecialProject</v>
      </c>
      <c r="F98" s="23" t="str">
        <f>IF(ISBLANK(VLOOKUP(A98, 'WMS Attendance'!B:G, 5, FALSE)), "", VLOOKUP(A98, 'WMS Attendance'!B:G, 5, FALSE))</f>
        <v>NO CIO-MC</v>
      </c>
      <c r="G98" s="21"/>
      <c r="H98" s="89"/>
      <c r="I98" s="89"/>
      <c r="J98" s="89"/>
      <c r="K98" s="89"/>
      <c r="L98" s="91"/>
      <c r="M98" s="89"/>
      <c r="N98" s="105"/>
    </row>
    <row r="99" spans="1:15" x14ac:dyDescent="0.3">
      <c r="A99" s="88" t="s">
        <v>137</v>
      </c>
      <c r="B99" s="119" t="str">
        <f>VLOOKUP(A99, 'WMS Attendance'!B:G, 2, FALSE)</f>
        <v>30LS03EX08</v>
      </c>
      <c r="C99" s="8" t="s">
        <v>29</v>
      </c>
      <c r="D99" s="108" t="s">
        <v>10</v>
      </c>
      <c r="E99" s="42" t="str">
        <f>VLOOKUP(A99,'WMS Attendance'!B:G,6, FALSE)</f>
        <v>IN - SpecialProject</v>
      </c>
      <c r="F99" s="23" t="str">
        <f>IF(ISBLANK(VLOOKUP(A99, 'WMS Attendance'!B:G, 5, FALSE)), "", VLOOKUP(A99, 'WMS Attendance'!B:G, 5, FALSE))</f>
        <v>no cios, no apps</v>
      </c>
      <c r="G99" s="78"/>
      <c r="H99" s="89"/>
      <c r="I99" s="89"/>
      <c r="J99" s="89"/>
      <c r="K99" s="89"/>
      <c r="L99" s="91"/>
      <c r="M99" s="89"/>
      <c r="N99" s="105"/>
    </row>
    <row r="100" spans="1:15" x14ac:dyDescent="0.3">
      <c r="A100" s="88" t="s">
        <v>138</v>
      </c>
      <c r="B100" s="119" t="str">
        <f>VLOOKUP(A100, 'WMS Attendance'!B:G, 2, FALSE)</f>
        <v>30ES032W02</v>
      </c>
      <c r="C100" s="8" t="s">
        <v>29</v>
      </c>
      <c r="D100" s="108" t="s">
        <v>10</v>
      </c>
      <c r="E100" s="42" t="str">
        <f>VLOOKUP(A100,'WMS Attendance'!B:G,6, FALSE)</f>
        <v>IN - SpecialProject</v>
      </c>
      <c r="F100" s="23" t="str">
        <f>IF(ISBLANK(VLOOKUP(A100, 'WMS Attendance'!B:G, 5, FALSE)), "", VLOOKUP(A100, 'WMS Attendance'!B:G, 5, FALSE))</f>
        <v>No CIOs/No Tasks - Special Project</v>
      </c>
      <c r="G100" s="21"/>
      <c r="H100" s="89"/>
      <c r="I100" s="89"/>
      <c r="J100" s="89"/>
      <c r="K100" s="89"/>
      <c r="L100" s="91"/>
      <c r="M100" s="89"/>
      <c r="N100" s="105"/>
    </row>
    <row r="101" spans="1:15" x14ac:dyDescent="0.3">
      <c r="A101" s="88" t="s">
        <v>141</v>
      </c>
      <c r="B101" s="119" t="str">
        <f>VLOOKUP(A101, 'WMS Attendance'!B:G, 2, FALSE)</f>
        <v>30LS03KO03</v>
      </c>
      <c r="C101" s="8" t="s">
        <v>29</v>
      </c>
      <c r="D101" s="108" t="s">
        <v>13</v>
      </c>
      <c r="E101" s="42" t="str">
        <f>VLOOKUP(A101,'WMS Attendance'!B:G,6, FALSE)</f>
        <v>IN - SpecialProject</v>
      </c>
      <c r="F101" s="23" t="str">
        <f>IF(ISBLANK(VLOOKUP(A101, 'WMS Attendance'!B:G, 5, FALSE)), "", VLOOKUP(A101, 'WMS Attendance'!B:G, 5, FALSE))</f>
        <v>NO CIO - MC</v>
      </c>
      <c r="G101" s="21"/>
      <c r="H101" s="89"/>
      <c r="I101" s="89"/>
      <c r="J101" s="89"/>
      <c r="K101" s="89"/>
      <c r="L101" s="91"/>
      <c r="M101" s="89"/>
      <c r="N101" s="105"/>
    </row>
    <row r="102" spans="1:15" x14ac:dyDescent="0.3">
      <c r="A102" s="88" t="s">
        <v>142</v>
      </c>
      <c r="B102" s="119" t="str">
        <f>VLOOKUP(A102, 'WMS Attendance'!B:G, 2, FALSE)</f>
        <v>30LS03KO09</v>
      </c>
      <c r="C102" s="8" t="s">
        <v>29</v>
      </c>
      <c r="D102" s="108" t="s">
        <v>13</v>
      </c>
      <c r="E102" s="42" t="str">
        <f>VLOOKUP(A102,'WMS Attendance'!B:G,6, FALSE)</f>
        <v>IN - SpecialProject</v>
      </c>
      <c r="F102" s="23" t="str">
        <f>IF(ISBLANK(VLOOKUP(A102, 'WMS Attendance'!B:G, 5, FALSE)), "", VLOOKUP(A102, 'WMS Attendance'!B:G, 5, FALSE))</f>
        <v>No CIOs/No Tasks - Special Project</v>
      </c>
      <c r="G102" s="34">
        <v>0.20833333333333334</v>
      </c>
      <c r="H102" s="89"/>
      <c r="I102" s="89"/>
      <c r="J102" s="89"/>
      <c r="K102" s="89"/>
      <c r="L102" s="91"/>
      <c r="M102" s="89"/>
      <c r="N102" s="105"/>
    </row>
    <row r="103" spans="1:15" x14ac:dyDescent="0.3">
      <c r="A103" s="88" t="s">
        <v>145</v>
      </c>
      <c r="B103" s="119" t="str">
        <f>VLOOKUP(A103, 'WMS Attendance'!B:G, 2, FALSE)</f>
        <v>30ES032M09 (TW/TC)</v>
      </c>
      <c r="C103" s="8" t="s">
        <v>102</v>
      </c>
      <c r="D103" s="108" t="s">
        <v>10</v>
      </c>
      <c r="E103" s="42" t="str">
        <f>VLOOKUP(A103,'WMS Attendance'!B:G,6, FALSE)</f>
        <v>IN – Telework/Telecommuting</v>
      </c>
      <c r="F103" s="23" t="str">
        <f>IF(ISBLANK(VLOOKUP(A103, 'WMS Attendance'!B:G, 5, FALSE)), "", VLOOKUP(A103, 'WMS Attendance'!B:G, 5, FALSE))</f>
        <v>Telecommuting</v>
      </c>
      <c r="G103" s="34" t="s">
        <v>103</v>
      </c>
      <c r="H103" s="89"/>
      <c r="I103" s="90"/>
      <c r="J103" s="89"/>
      <c r="K103" s="89"/>
      <c r="L103" s="91"/>
      <c r="M103" s="89"/>
      <c r="N103" s="105"/>
    </row>
    <row r="104" spans="1:15" x14ac:dyDescent="0.3">
      <c r="A104" s="88" t="s">
        <v>146</v>
      </c>
      <c r="B104" s="119" t="s">
        <v>147</v>
      </c>
      <c r="C104" s="8" t="s">
        <v>102</v>
      </c>
      <c r="D104" s="108" t="s">
        <v>1207</v>
      </c>
      <c r="E104" s="42" t="str">
        <f>VLOOKUP(A104,'WMS Attendance'!B:G,6, FALSE)</f>
        <v>IN – Telework/Telecommuting</v>
      </c>
      <c r="F104" s="23" t="str">
        <f>IF(ISBLANK(VLOOKUP(A104, 'WMS Attendance'!B:G, 5, FALSE)), "", VLOOKUP(A104, 'WMS Attendance'!B:G, 5, FALSE))</f>
        <v>Telecommuting</v>
      </c>
      <c r="G104" s="21" t="s">
        <v>103</v>
      </c>
      <c r="H104" s="98"/>
      <c r="I104" s="97"/>
      <c r="J104" s="97"/>
      <c r="K104" s="89"/>
      <c r="L104" s="91"/>
      <c r="M104" s="89"/>
      <c r="N104" s="105"/>
    </row>
    <row r="105" spans="1:15" x14ac:dyDescent="0.3">
      <c r="A105" s="88" t="s">
        <v>143</v>
      </c>
      <c r="B105" s="119" t="str">
        <f>VLOOKUP(A105, 'WMS Attendance'!B:G, 2, FALSE)</f>
        <v>30LS03VQ08 (TW/TC)</v>
      </c>
      <c r="C105" s="8" t="s">
        <v>125</v>
      </c>
      <c r="D105" s="108" t="s">
        <v>10</v>
      </c>
      <c r="E105" s="42" t="str">
        <f>VLOOKUP(A105,'WMS Attendance'!B:G,6, FALSE)</f>
        <v>IN – Telework/Telecommuting</v>
      </c>
      <c r="F105" s="23" t="str">
        <f>IF(ISBLANK(VLOOKUP(A105, 'WMS Attendance'!B:G, 5, FALSE)), "", VLOOKUP(A105, 'WMS Attendance'!B:G, 5, FALSE))</f>
        <v>Telecommuting. No Tasks/Off Board -Task Force (VG)</v>
      </c>
      <c r="G105" s="21"/>
      <c r="H105" s="98"/>
      <c r="I105" s="97"/>
      <c r="J105" s="97"/>
      <c r="K105" s="89"/>
      <c r="L105" s="91"/>
      <c r="M105" s="89"/>
      <c r="N105" s="105"/>
      <c r="O105" s="12"/>
    </row>
    <row r="106" spans="1:15" x14ac:dyDescent="0.3">
      <c r="A106" s="88" t="s">
        <v>144</v>
      </c>
      <c r="B106" s="119" t="str">
        <f>VLOOKUP(A106, 'WMS Attendance'!B:G, 2, FALSE)</f>
        <v>30LS03D80B (TW/TC)</v>
      </c>
      <c r="C106" s="8" t="s">
        <v>29</v>
      </c>
      <c r="D106" s="108" t="s">
        <v>1206</v>
      </c>
      <c r="E106" s="42" t="str">
        <f>VLOOKUP(A106,'WMS Attendance'!B:G,6, FALSE)</f>
        <v>IN – Telework/Telecommuting</v>
      </c>
      <c r="F106" s="23" t="str">
        <f>IF(ISBLANK(VLOOKUP(A106, 'WMS Attendance'!B:G, 5, FALSE)), "", VLOOKUP(A106, 'WMS Attendance'!B:G, 5, FALSE))</f>
        <v>Telecommuting No Assignments Task Force</v>
      </c>
      <c r="G106" s="21"/>
      <c r="H106" s="98"/>
      <c r="I106" s="97"/>
      <c r="J106" s="97"/>
      <c r="K106" s="89"/>
      <c r="L106" s="91"/>
      <c r="M106" s="89"/>
      <c r="N106" s="105"/>
    </row>
    <row r="107" spans="1:15" x14ac:dyDescent="0.3">
      <c r="A107" s="88" t="s">
        <v>148</v>
      </c>
      <c r="B107" s="119" t="str">
        <f>VLOOKUP(A107, 'WMS Attendance'!B:G, 2, FALSE)</f>
        <v>30LS03V803</v>
      </c>
      <c r="C107" s="8" t="s">
        <v>27</v>
      </c>
      <c r="D107" s="108" t="s">
        <v>13</v>
      </c>
      <c r="E107" s="42" t="str">
        <f>VLOOKUP(A107,'WMS Attendance'!B:G,6, FALSE)</f>
        <v>IN - Training</v>
      </c>
      <c r="F107" s="23" t="str">
        <f>IF(ISBLANK(VLOOKUP(A107, 'WMS Attendance'!B:G, 5, FALSE)), "", VLOOKUP(A107, 'WMS Attendance'!B:G, 5, FALSE))</f>
        <v>TCD Dual IIT (CF to MC) training - TR</v>
      </c>
      <c r="G107" s="34">
        <v>0.20833333333333334</v>
      </c>
      <c r="H107" s="98"/>
      <c r="I107" s="102"/>
      <c r="J107" s="102"/>
      <c r="K107" s="89"/>
      <c r="L107" s="91"/>
      <c r="M107" s="89"/>
      <c r="N107" s="105"/>
    </row>
    <row r="108" spans="1:15" x14ac:dyDescent="0.3">
      <c r="A108" s="88" t="s">
        <v>156</v>
      </c>
      <c r="B108" s="176" t="str">
        <f>VLOOKUP(A108, 'WMS Attendance'!B:G, 2, FALSE)</f>
        <v>30LS035K0P (Restricted)</v>
      </c>
      <c r="C108" s="8" t="s">
        <v>29</v>
      </c>
      <c r="D108" s="177" t="s">
        <v>10</v>
      </c>
      <c r="E108" s="42" t="str">
        <f>VLOOKUP(A108,'WMS Attendance'!B:G,6, FALSE)</f>
        <v>OUT</v>
      </c>
      <c r="F108" s="23" t="str">
        <f>IF(ISBLANK(VLOOKUP(A108, 'WMS Attendance'!B:G, 5, FALSE)), "", VLOOKUP(A108, 'WMS Attendance'!B:G, 5, FALSE))</f>
        <v>out JT</v>
      </c>
      <c r="G108" s="76" t="s">
        <v>47</v>
      </c>
      <c r="H108" s="89"/>
      <c r="I108" s="90"/>
      <c r="J108" s="90"/>
      <c r="K108" s="89"/>
      <c r="L108" s="91"/>
      <c r="M108" s="89"/>
      <c r="N108" s="105"/>
    </row>
    <row r="109" spans="1:15" x14ac:dyDescent="0.3">
      <c r="A109" s="88" t="s">
        <v>157</v>
      </c>
      <c r="B109" s="119" t="str">
        <f>VLOOKUP(A109, 'WMS Attendance'!B:G, 2, FALSE)</f>
        <v>30LS03YL08</v>
      </c>
      <c r="C109" s="8" t="s">
        <v>29</v>
      </c>
      <c r="D109" s="177" t="s">
        <v>10</v>
      </c>
      <c r="E109" s="42" t="str">
        <f>VLOOKUP(A109,'WMS Attendance'!B:G,6, FALSE)</f>
        <v>OUT</v>
      </c>
      <c r="F109" s="23" t="str">
        <f>IF(ISBLANK(VLOOKUP(A109, 'WMS Attendance'!B:G, 5, FALSE)), "", VLOOKUP(A109, 'WMS Attendance'!B:G, 5, FALSE))</f>
        <v>Resigned 11/10 eg</v>
      </c>
      <c r="G109" s="180" t="s">
        <v>47</v>
      </c>
      <c r="H109" s="89"/>
      <c r="I109" s="89"/>
      <c r="J109" s="89"/>
      <c r="K109" s="89"/>
      <c r="L109" s="91"/>
      <c r="M109" s="89"/>
      <c r="N109" s="105"/>
    </row>
    <row r="110" spans="1:15" x14ac:dyDescent="0.3">
      <c r="A110" s="88" t="s">
        <v>149</v>
      </c>
      <c r="B110" s="119" t="str">
        <f>VLOOKUP(A110, 'WMS Attendance'!B:G, 2, FALSE)</f>
        <v>30LS03AD03</v>
      </c>
      <c r="C110" s="8" t="s">
        <v>15</v>
      </c>
      <c r="D110" s="108" t="s">
        <v>10</v>
      </c>
      <c r="E110" s="42" t="str">
        <f>VLOOKUP(A110,'WMS Attendance'!B:G,6, FALSE)</f>
        <v>OUT</v>
      </c>
      <c r="F110" s="23" t="str">
        <f>IF(ISBLANK(VLOOKUP(A110, 'WMS Attendance'!B:G, 5, FALSE)), "", VLOOKUP(A110, 'WMS Attendance'!B:G, 5, FALSE))</f>
        <v>OUT sick MR</v>
      </c>
      <c r="G110" s="123">
        <v>0.1875</v>
      </c>
      <c r="H110" s="89"/>
      <c r="I110" s="90"/>
      <c r="J110" s="89"/>
      <c r="K110" s="89"/>
      <c r="L110" s="91"/>
      <c r="M110" s="89"/>
      <c r="N110" s="105"/>
      <c r="O110" s="12"/>
    </row>
    <row r="111" spans="1:15" x14ac:dyDescent="0.3">
      <c r="A111" s="88" t="s">
        <v>164</v>
      </c>
      <c r="B111" s="119" t="str">
        <f>VLOOKUP(A111, 'WMS Attendance'!B:G, 2, FALSE)</f>
        <v>30LS033N0A</v>
      </c>
      <c r="C111" s="8" t="s">
        <v>102</v>
      </c>
      <c r="D111" s="110" t="s">
        <v>10</v>
      </c>
      <c r="E111" s="23" t="str">
        <f>VLOOKUP(A111,'WMS Attendance'!B:G,6, FALSE)</f>
        <v>OUT</v>
      </c>
      <c r="F111" s="23" t="str">
        <f>IF(ISBLANK(VLOOKUP(A111, 'WMS Attendance'!B:G, 5, FALSE)), "", VLOOKUP(A111, 'WMS Attendance'!B:G, 5, FALSE))</f>
        <v>out eg</v>
      </c>
      <c r="G111" s="179" t="s">
        <v>103</v>
      </c>
      <c r="H111" s="89"/>
      <c r="I111" s="90"/>
      <c r="J111" s="89"/>
      <c r="K111" s="89"/>
      <c r="L111" s="91"/>
      <c r="M111" s="89"/>
      <c r="N111" s="105"/>
    </row>
    <row r="112" spans="1:15" x14ac:dyDescent="0.3">
      <c r="A112" s="88" t="s">
        <v>165</v>
      </c>
      <c r="B112" s="119" t="str">
        <f>VLOOKUP(A112, 'WMS Attendance'!B:G, 2, FALSE)</f>
        <v>30LS033N09</v>
      </c>
      <c r="C112" s="8" t="s">
        <v>102</v>
      </c>
      <c r="D112" s="177" t="s">
        <v>10</v>
      </c>
      <c r="E112" s="42" t="str">
        <f>VLOOKUP(A112,'WMS Attendance'!B:G,6, FALSE)</f>
        <v>OUT</v>
      </c>
      <c r="F112" s="23" t="str">
        <f>IF(ISBLANK(VLOOKUP(A112, 'WMS Attendance'!B:G, 5, FALSE)), "", VLOOKUP(A112, 'WMS Attendance'!B:G, 5, FALSE))</f>
        <v>out JT</v>
      </c>
      <c r="G112" s="81" t="s">
        <v>105</v>
      </c>
      <c r="H112" s="89"/>
      <c r="I112" s="90"/>
      <c r="J112" s="89"/>
      <c r="K112" s="89"/>
      <c r="L112" s="91"/>
      <c r="M112" s="89"/>
      <c r="N112" s="106"/>
    </row>
    <row r="113" spans="1:14" x14ac:dyDescent="0.3">
      <c r="A113" s="88" t="s">
        <v>150</v>
      </c>
      <c r="B113" s="119" t="str">
        <f>VLOOKUP(A113, 'WMS Attendance'!B:G, 2, FALSE)</f>
        <v>30ES032X05</v>
      </c>
      <c r="C113" s="8" t="s">
        <v>27</v>
      </c>
      <c r="D113" s="110" t="s">
        <v>10</v>
      </c>
      <c r="E113" s="23" t="str">
        <f>VLOOKUP(A113,'WMS Attendance'!B:G,6, FALSE)</f>
        <v>OUT</v>
      </c>
      <c r="F113" s="23" t="str">
        <f>IF(ISBLANK(VLOOKUP(A113, 'WMS Attendance'!B:G, 5, FALSE)), "", VLOOKUP(A113, 'WMS Attendance'!B:G, 5, FALSE))</f>
        <v>LOA til 12/11/2023-GP</v>
      </c>
      <c r="G113" s="81"/>
      <c r="H113" s="89"/>
      <c r="I113" s="89"/>
      <c r="J113" s="89"/>
      <c r="K113" s="89"/>
      <c r="L113" s="91"/>
      <c r="M113" s="91"/>
      <c r="N113" s="105"/>
    </row>
    <row r="114" spans="1:14" x14ac:dyDescent="0.3">
      <c r="A114" s="88" t="s">
        <v>151</v>
      </c>
      <c r="B114" s="124" t="str">
        <f>VLOOKUP(A114, 'WMS Attendance'!B:G, 2, FALSE)</f>
        <v>30LS03YL04</v>
      </c>
      <c r="C114" s="8" t="s">
        <v>29</v>
      </c>
      <c r="D114" s="125" t="s">
        <v>10</v>
      </c>
      <c r="E114" s="23" t="str">
        <f>VLOOKUP(A114,'WMS Attendance'!B:G,6, FALSE)</f>
        <v>OUT</v>
      </c>
      <c r="F114" s="23" t="str">
        <f>IF(ISBLANK(VLOOKUP(A114, 'WMS Attendance'!B:G, 5, FALSE)), "", VLOOKUP(A114, 'WMS Attendance'!B:G, 5, FALSE))</f>
        <v>Out all day JT</v>
      </c>
      <c r="G114" s="123">
        <v>0.20833333333333334</v>
      </c>
      <c r="H114" s="89"/>
      <c r="I114" s="90"/>
      <c r="J114" s="90"/>
      <c r="K114" s="89"/>
      <c r="L114" s="91"/>
      <c r="M114" s="89"/>
      <c r="N114" s="107"/>
    </row>
    <row r="115" spans="1:14" x14ac:dyDescent="0.3">
      <c r="A115" s="88" t="s">
        <v>152</v>
      </c>
      <c r="B115" s="124" t="str">
        <f>VLOOKUP(A115, 'WMS Attendance'!B:G, 2, FALSE)</f>
        <v>30LS03YL0C</v>
      </c>
      <c r="C115" s="8" t="s">
        <v>29</v>
      </c>
      <c r="D115" s="110" t="s">
        <v>10</v>
      </c>
      <c r="E115" s="23" t="str">
        <f>VLOOKUP(A115,'WMS Attendance'!B:G,6, FALSE)</f>
        <v>OUT</v>
      </c>
      <c r="F115" s="23" t="str">
        <f>IF(ISBLANK(VLOOKUP(A115, 'WMS Attendance'!B:G, 5, FALSE)), "", VLOOKUP(A115, 'WMS Attendance'!B:G, 5, FALSE))</f>
        <v>out eg</v>
      </c>
      <c r="G115" s="123">
        <v>0.20833333333333334</v>
      </c>
      <c r="H115" s="89"/>
      <c r="I115" s="90"/>
      <c r="J115" s="90"/>
      <c r="K115" s="89"/>
      <c r="L115" s="91"/>
      <c r="M115" s="89"/>
      <c r="N115" s="107"/>
    </row>
    <row r="116" spans="1:14" x14ac:dyDescent="0.3">
      <c r="A116" s="88" t="s">
        <v>153</v>
      </c>
      <c r="B116" s="119" t="str">
        <f>VLOOKUP(A116, 'WMS Attendance'!B:G, 2, FALSE)</f>
        <v>30ES033A0E</v>
      </c>
      <c r="C116" s="8" t="s">
        <v>29</v>
      </c>
      <c r="D116" s="110" t="s">
        <v>10</v>
      </c>
      <c r="E116" s="23" t="str">
        <f>VLOOKUP(A116,'WMS Attendance'!B:G,6, FALSE)</f>
        <v>OUT</v>
      </c>
      <c r="F116" s="23" t="str">
        <f>IF(ISBLANK(VLOOKUP(A116, 'WMS Attendance'!B:G, 5, FALSE)), "", VLOOKUP(A116, 'WMS Attendance'!B:G, 5, FALSE))</f>
        <v>out eg</v>
      </c>
      <c r="G116" s="81"/>
      <c r="H116" s="89"/>
      <c r="I116" s="89"/>
      <c r="J116" s="89"/>
      <c r="K116" s="89"/>
      <c r="L116" s="91"/>
      <c r="M116" s="89"/>
      <c r="N116" s="105"/>
    </row>
    <row r="117" spans="1:14" x14ac:dyDescent="0.3">
      <c r="A117" s="88" t="s">
        <v>154</v>
      </c>
      <c r="B117" s="119" t="str">
        <f>VLOOKUP(A117, 'WMS Attendance'!B:G, 2, FALSE)</f>
        <v>30ES032T0B</v>
      </c>
      <c r="C117" s="8" t="s">
        <v>29</v>
      </c>
      <c r="D117" s="110" t="s">
        <v>10</v>
      </c>
      <c r="E117" s="23" t="str">
        <f>VLOOKUP(A117,'WMS Attendance'!B:G,6, FALSE)</f>
        <v>OUT</v>
      </c>
      <c r="F117" s="23" t="str">
        <f>IF(ISBLANK(VLOOKUP(A117, 'WMS Attendance'!B:G, 5, FALSE)), "", VLOOKUP(A117, 'WMS Attendance'!B:G, 5, FALSE))</f>
        <v>OUT -resigned 10/31/2023- mc</v>
      </c>
      <c r="G117" s="123">
        <v>0.20833333333333334</v>
      </c>
      <c r="H117" s="89"/>
      <c r="I117" s="89"/>
      <c r="J117" s="89"/>
      <c r="K117" s="89"/>
      <c r="L117" s="104"/>
      <c r="M117" s="89"/>
      <c r="N117" s="105"/>
    </row>
    <row r="118" spans="1:14" x14ac:dyDescent="0.3">
      <c r="A118" s="88" t="s">
        <v>155</v>
      </c>
      <c r="B118" s="176" t="str">
        <f>VLOOKUP(A118, 'WMS Attendance'!B:G, 2, FALSE)</f>
        <v>30ES032X0A</v>
      </c>
      <c r="C118" s="8" t="s">
        <v>29</v>
      </c>
      <c r="D118" s="110" t="s">
        <v>10</v>
      </c>
      <c r="E118" s="23" t="str">
        <f>VLOOKUP(A118,'WMS Attendance'!B:G,6, FALSE)</f>
        <v>OUT</v>
      </c>
      <c r="F118" s="39" t="str">
        <f>IF(ISBLANK(VLOOKUP(A118, 'WMS Attendance'!B:G, 5, FALSE)), "", VLOOKUP(A118, 'WMS Attendance'!B:G, 5, FALSE))</f>
        <v>Out, ER</v>
      </c>
      <c r="G118" s="81"/>
      <c r="H118" s="89"/>
      <c r="I118" s="90"/>
      <c r="J118" s="90"/>
      <c r="K118" s="89"/>
      <c r="L118" s="91"/>
      <c r="M118" s="89"/>
      <c r="N118" s="105"/>
    </row>
    <row r="119" spans="1:14" x14ac:dyDescent="0.3">
      <c r="A119" s="88" t="s">
        <v>158</v>
      </c>
      <c r="B119" s="119" t="str">
        <f>VLOOKUP(A119, 'WMS Attendance'!B:G, 2, FALSE)</f>
        <v>30LS03G409</v>
      </c>
      <c r="C119" s="8" t="s">
        <v>27</v>
      </c>
      <c r="D119" s="177" t="s">
        <v>13</v>
      </c>
      <c r="E119" s="42" t="str">
        <f>VLOOKUP(A119,'WMS Attendance'!B:G,6, FALSE)</f>
        <v>OUT</v>
      </c>
      <c r="F119" s="39" t="str">
        <f>IF(ISBLANK(VLOOKUP(A119, 'WMS Attendance'!B:G, 5, FALSE)), "", VLOOKUP(A119, 'WMS Attendance'!B:G, 5, FALSE))</f>
        <v>OUT</v>
      </c>
      <c r="G119" s="81"/>
      <c r="H119" s="89" t="s">
        <v>159</v>
      </c>
      <c r="I119" s="90"/>
      <c r="J119" s="89"/>
      <c r="K119" s="89"/>
      <c r="L119" s="91"/>
      <c r="M119" s="89"/>
      <c r="N119" s="105"/>
    </row>
    <row r="120" spans="1:14" x14ac:dyDescent="0.3">
      <c r="A120" s="88" t="s">
        <v>160</v>
      </c>
      <c r="B120" s="119" t="str">
        <f>VLOOKUP(A120, 'WMS Attendance'!B:G, 2, FALSE)</f>
        <v>30ES033C04</v>
      </c>
      <c r="C120" s="8" t="s">
        <v>29</v>
      </c>
      <c r="D120" s="110" t="s">
        <v>13</v>
      </c>
      <c r="E120" s="23" t="str">
        <f>VLOOKUP(A120,'WMS Attendance'!B:G,6, FALSE)</f>
        <v>OUT</v>
      </c>
      <c r="F120" s="39" t="str">
        <f>IF(ISBLANK(VLOOKUP(A120, 'WMS Attendance'!B:G, 5, FALSE)), "", VLOOKUP(A120, 'WMS Attendance'!B:G, 5, FALSE))</f>
        <v>out JT</v>
      </c>
      <c r="G120" s="81"/>
      <c r="H120" s="89"/>
      <c r="I120" s="90"/>
      <c r="J120" s="90"/>
      <c r="K120" s="89"/>
      <c r="L120" s="91"/>
      <c r="M120" s="90"/>
      <c r="N120" s="105"/>
    </row>
    <row r="121" spans="1:14" x14ac:dyDescent="0.3">
      <c r="A121" s="88" t="s">
        <v>161</v>
      </c>
      <c r="B121" s="119" t="str">
        <f>VLOOKUP(A121, 'WMS Attendance'!B:G, 2, FALSE)</f>
        <v>30ES033C07</v>
      </c>
      <c r="C121" s="8" t="s">
        <v>29</v>
      </c>
      <c r="D121" s="110" t="s">
        <v>13</v>
      </c>
      <c r="E121" s="23" t="str">
        <f>VLOOKUP(A121,'WMS Attendance'!B:G,6, FALSE)</f>
        <v>OUT</v>
      </c>
      <c r="F121" s="39" t="str">
        <f>IF(ISBLANK(VLOOKUP(A121, 'WMS Attendance'!B:G, 5, FALSE)), "", VLOOKUP(A121, 'WMS Attendance'!B:G, 5, FALSE))</f>
        <v>out JT</v>
      </c>
      <c r="G121" s="123">
        <v>0.20833333333333334</v>
      </c>
      <c r="H121" s="89"/>
      <c r="I121" s="90"/>
      <c r="J121" s="90"/>
      <c r="K121" s="90"/>
      <c r="L121" s="91"/>
      <c r="M121" s="89"/>
      <c r="N121" s="105"/>
    </row>
    <row r="122" spans="1:14" x14ac:dyDescent="0.3">
      <c r="A122" s="88" t="s">
        <v>162</v>
      </c>
      <c r="B122" s="119" t="str">
        <f>VLOOKUP(A122, 'WMS Attendance'!B:G, 2, FALSE)</f>
        <v>30LS038Y01</v>
      </c>
      <c r="C122" s="8" t="s">
        <v>29</v>
      </c>
      <c r="D122" s="110" t="s">
        <v>13</v>
      </c>
      <c r="E122" s="23" t="str">
        <f>VLOOKUP(A122,'WMS Attendance'!B:G,6, FALSE)</f>
        <v>OUT</v>
      </c>
      <c r="F122" s="39" t="str">
        <f>IF(ISBLANK(VLOOKUP(A122, 'WMS Attendance'!B:G, 5, FALSE)), "", VLOOKUP(A122, 'WMS Attendance'!B:G, 5, FALSE))</f>
        <v>Resigned effective 11/03/2023</v>
      </c>
      <c r="G122" s="81"/>
      <c r="H122" s="89"/>
      <c r="I122" s="89"/>
      <c r="J122" s="90"/>
      <c r="K122" s="89"/>
      <c r="L122" s="91"/>
      <c r="M122" s="89"/>
      <c r="N122" s="105"/>
    </row>
    <row r="123" spans="1:14" x14ac:dyDescent="0.3">
      <c r="A123" s="88" t="s">
        <v>163</v>
      </c>
      <c r="B123" s="119" t="str">
        <f>VLOOKUP(A123, 'WMS Attendance'!B:G, 2, FALSE)</f>
        <v>30LS037S04</v>
      </c>
      <c r="C123" s="8" t="s">
        <v>102</v>
      </c>
      <c r="D123" s="110" t="s">
        <v>13</v>
      </c>
      <c r="E123" s="23" t="str">
        <f>VLOOKUP(A123,'WMS Attendance'!B:G,6, FALSE)</f>
        <v>OUT</v>
      </c>
      <c r="F123" s="39" t="str">
        <f>IF(ISBLANK(VLOOKUP(A123, 'WMS Attendance'!B:G, 5, FALSE)), "", VLOOKUP(A123, 'WMS Attendance'!B:G, 5, FALSE))</f>
        <v>LOA</v>
      </c>
      <c r="G123" s="81"/>
      <c r="H123" s="89"/>
      <c r="I123" s="89"/>
      <c r="J123" s="89"/>
      <c r="K123" s="89"/>
      <c r="L123" s="91"/>
      <c r="M123" s="89"/>
      <c r="N123" s="105"/>
    </row>
    <row r="124" spans="1:14" x14ac:dyDescent="0.3">
      <c r="A124" s="88" t="s">
        <v>166</v>
      </c>
      <c r="B124" s="119" t="str">
        <f>VLOOKUP(A124, 'WMS Attendance'!B:G, 2, FALSE)</f>
        <v>30ES032L05</v>
      </c>
      <c r="C124" s="8" t="s">
        <v>29</v>
      </c>
      <c r="D124" s="110" t="s">
        <v>10</v>
      </c>
      <c r="E124" s="23" t="str">
        <f>VLOOKUP(A124,'WMS Attendance'!B:G,6, FALSE)</f>
        <v>OUT - CTY Time</v>
      </c>
      <c r="F124" s="39" t="str">
        <f>IF(ISBLANK(VLOOKUP(A124, 'WMS Attendance'!B:G, 5, FALSE)), "", VLOOKUP(A124, 'WMS Attendance'!B:G, 5, FALSE))</f>
        <v>Jury Duty 11/15 -11/22 EC</v>
      </c>
      <c r="G124" s="81"/>
      <c r="H124" s="89"/>
      <c r="I124" s="90"/>
      <c r="J124" s="89"/>
      <c r="K124" s="89"/>
      <c r="L124" s="91"/>
      <c r="M124" s="89"/>
      <c r="N124" s="105"/>
    </row>
    <row r="125" spans="1:14" x14ac:dyDescent="0.3">
      <c r="A125" s="88" t="s">
        <v>167</v>
      </c>
      <c r="B125" s="119" t="str">
        <f>VLOOKUP(A125, 'WMS Attendance'!B:G, 2, FALSE)</f>
        <v>30LS03AD05</v>
      </c>
      <c r="C125" s="8" t="s">
        <v>15</v>
      </c>
      <c r="D125" s="110" t="s">
        <v>10</v>
      </c>
      <c r="E125" s="23" t="str">
        <f>VLOOKUP(A125,'WMS Attendance'!B:G,6, FALSE)</f>
        <v>OUT - Early</v>
      </c>
      <c r="F125" s="39" t="str">
        <f>IF(ISBLANK(VLOOKUP(A125, 'WMS Attendance'!B:G, 5, FALSE)), "", VLOOKUP(A125, 'WMS Attendance'!B:G, 5, FALSE))</f>
        <v>Out at 3:15-LO</v>
      </c>
      <c r="G125" s="123">
        <v>0.20833333333333334</v>
      </c>
      <c r="H125" s="89">
        <v>3</v>
      </c>
      <c r="I125" s="90" t="s">
        <v>168</v>
      </c>
      <c r="J125" s="90" t="s">
        <v>169</v>
      </c>
      <c r="K125" s="89" t="s">
        <v>170</v>
      </c>
      <c r="L125" s="91"/>
      <c r="M125" s="89"/>
      <c r="N125" s="105"/>
    </row>
    <row r="126" spans="1:14" x14ac:dyDescent="0.3">
      <c r="A126" s="88" t="s">
        <v>174</v>
      </c>
      <c r="B126" s="119" t="s">
        <v>175</v>
      </c>
      <c r="C126" s="8" t="s">
        <v>102</v>
      </c>
      <c r="D126" s="110" t="s">
        <v>13</v>
      </c>
      <c r="E126" s="23" t="str">
        <f>VLOOKUP(A126,'WMS Attendance'!B:G,6, FALSE)</f>
        <v>OUT - Early</v>
      </c>
      <c r="F126" s="39" t="str">
        <f>IF(ISBLANK(VLOOKUP(A126, 'WMS Attendance'!B:G, 5, FALSE)), "", VLOOKUP(A126, 'WMS Attendance'!B:G, 5, FALSE))</f>
        <v>Out at 12pm</v>
      </c>
      <c r="G126" s="81" t="s">
        <v>103</v>
      </c>
      <c r="H126" s="89"/>
      <c r="I126" s="90"/>
      <c r="J126" s="89"/>
      <c r="K126" s="90"/>
      <c r="L126" s="126"/>
      <c r="M126" s="89"/>
      <c r="N126" s="105"/>
    </row>
    <row r="127" spans="1:14" x14ac:dyDescent="0.3">
      <c r="A127" s="88" t="s">
        <v>171</v>
      </c>
      <c r="B127" s="119" t="str">
        <f>VLOOKUP(A127, 'WMS Attendance'!B:G, 2, FALSE)</f>
        <v>30ES032X0H</v>
      </c>
      <c r="C127" s="8" t="s">
        <v>29</v>
      </c>
      <c r="D127" s="110" t="s">
        <v>10</v>
      </c>
      <c r="E127" s="23" t="str">
        <f>VLOOKUP(A127,'WMS Attendance'!B:G,6, FALSE)</f>
        <v>OUT - Early</v>
      </c>
      <c r="F127" s="39" t="str">
        <f>IF(ISBLANK(VLOOKUP(A127, 'WMS Attendance'!B:G, 5, FALSE)), "", VLOOKUP(A127, 'WMS Attendance'!B:G, 5, FALSE))</f>
        <v>OUT early-GP</v>
      </c>
      <c r="G127" s="123"/>
      <c r="H127" s="89">
        <v>1</v>
      </c>
      <c r="I127" s="90">
        <v>0.42430555555555555</v>
      </c>
      <c r="J127" s="89"/>
      <c r="K127" s="90"/>
      <c r="L127" s="91"/>
      <c r="M127" s="89"/>
      <c r="N127" s="105"/>
    </row>
    <row r="128" spans="1:14" x14ac:dyDescent="0.3">
      <c r="A128" s="88" t="s">
        <v>172</v>
      </c>
      <c r="B128" s="119" t="str">
        <f>VLOOKUP(A128, 'WMS Attendance'!B:G, 2, FALSE)</f>
        <v>30LS03KO0C (ICT)</v>
      </c>
      <c r="C128" s="8" t="s">
        <v>29</v>
      </c>
      <c r="D128" s="110" t="s">
        <v>10</v>
      </c>
      <c r="E128" s="23" t="str">
        <f>VLOOKUP(A128,'WMS Attendance'!B:G,6, FALSE)</f>
        <v>OUT - Early</v>
      </c>
      <c r="F128" s="39" t="str">
        <f>IF(ISBLANK(VLOOKUP(A128, 'WMS Attendance'!B:G, 5, FALSE)), "", VLOOKUP(A128, 'WMS Attendance'!B:G, 5, FALSE))</f>
        <v>out-mc</v>
      </c>
      <c r="G128" s="81" t="s">
        <v>173</v>
      </c>
      <c r="H128" s="89" t="s">
        <v>45</v>
      </c>
      <c r="I128" s="89"/>
      <c r="J128" s="89"/>
      <c r="K128" s="89"/>
      <c r="L128" s="91"/>
      <c r="M128" s="89"/>
      <c r="N128" s="105"/>
    </row>
    <row r="129" spans="1:15" x14ac:dyDescent="0.3">
      <c r="A129" s="88" t="s">
        <v>176</v>
      </c>
      <c r="B129" s="119" t="str">
        <f>VLOOKUP(A129, 'WMS Attendance'!B:G, 2, FALSE)</f>
        <v>30LS03AV02</v>
      </c>
      <c r="C129" s="8" t="s">
        <v>9</v>
      </c>
      <c r="D129" s="110" t="s">
        <v>13</v>
      </c>
      <c r="E129" s="23" t="str">
        <f>VLOOKUP(A129,'WMS Attendance'!B:G,6, FALSE)</f>
        <v>OUT - Flex</v>
      </c>
      <c r="F129" s="39" t="str">
        <f>IF(ISBLANK(VLOOKUP(A129, 'WMS Attendance'!B:G, 5, FALSE)), "", VLOOKUP(A129, 'WMS Attendance'!B:G, 5, FALSE))</f>
        <v/>
      </c>
      <c r="G129" s="123">
        <v>0.20833333333333334</v>
      </c>
      <c r="H129" s="89"/>
      <c r="I129" s="90"/>
      <c r="J129" s="89"/>
      <c r="K129" s="89"/>
      <c r="L129" s="91"/>
      <c r="M129" s="89"/>
      <c r="N129" s="105"/>
    </row>
    <row r="130" spans="1:15" x14ac:dyDescent="0.3">
      <c r="A130" s="88" t="s">
        <v>177</v>
      </c>
      <c r="B130" s="119" t="str">
        <f>VLOOKUP(A130, 'WMS Attendance'!B:G, 2, FALSE)</f>
        <v>30LS03AA03</v>
      </c>
      <c r="C130" s="8" t="s">
        <v>15</v>
      </c>
      <c r="D130" s="110" t="s">
        <v>10</v>
      </c>
      <c r="E130" s="23" t="str">
        <f>VLOOKUP(A130,'WMS Attendance'!B:G,6, FALSE)</f>
        <v>OUT - Flex</v>
      </c>
      <c r="F130" s="39" t="str">
        <f>IF(ISBLANK(VLOOKUP(A130, 'WMS Attendance'!B:G, 5, FALSE)), "", VLOOKUP(A130, 'WMS Attendance'!B:G, 5, FALSE))</f>
        <v/>
      </c>
      <c r="G130" s="81"/>
      <c r="H130" s="89"/>
      <c r="I130" s="90"/>
      <c r="J130" s="89"/>
      <c r="K130" s="89"/>
      <c r="L130" s="91"/>
      <c r="M130" s="89"/>
      <c r="N130" s="105"/>
    </row>
    <row r="131" spans="1:15" x14ac:dyDescent="0.3">
      <c r="A131" s="88" t="s">
        <v>178</v>
      </c>
      <c r="B131" s="119" t="str">
        <f>VLOOKUP(A131, 'WMS Attendance'!B:G, 2, FALSE)</f>
        <v>30LS03AC0B</v>
      </c>
      <c r="C131" s="8" t="s">
        <v>15</v>
      </c>
      <c r="D131" s="110" t="s">
        <v>13</v>
      </c>
      <c r="E131" s="23" t="str">
        <f>VLOOKUP(A131,'WMS Attendance'!B:G,6, FALSE)</f>
        <v>OUT - Flex</v>
      </c>
      <c r="F131" s="39" t="str">
        <f>IF(ISBLANK(VLOOKUP(A131, 'WMS Attendance'!B:G, 5, FALSE)), "", VLOOKUP(A131, 'WMS Attendance'!B:G, 5, FALSE))</f>
        <v/>
      </c>
      <c r="G131" s="81"/>
      <c r="H131" s="89"/>
      <c r="I131" s="90"/>
      <c r="J131" s="90"/>
      <c r="K131" s="89"/>
      <c r="L131" s="91"/>
      <c r="M131" s="89"/>
      <c r="N131" s="105"/>
    </row>
    <row r="132" spans="1:15" x14ac:dyDescent="0.3">
      <c r="A132" s="88" t="s">
        <v>188</v>
      </c>
      <c r="B132" s="119" t="str">
        <f>VLOOKUP(A132, 'WMS Attendance'!B:G, 2, FALSE)</f>
        <v>30LS033N08</v>
      </c>
      <c r="C132" s="8" t="s">
        <v>102</v>
      </c>
      <c r="D132" s="110" t="s">
        <v>13</v>
      </c>
      <c r="E132" s="23" t="str">
        <f>VLOOKUP(A132,'WMS Attendance'!B:G,6, FALSE)</f>
        <v>OUT - Flex</v>
      </c>
      <c r="F132" s="39" t="str">
        <f>IF(ISBLANK(VLOOKUP(A132, 'WMS Attendance'!B:G, 5, FALSE)), "", VLOOKUP(A132, 'WMS Attendance'!B:G, 5, FALSE))</f>
        <v/>
      </c>
      <c r="G132" s="81" t="s">
        <v>103</v>
      </c>
      <c r="H132" s="89"/>
      <c r="I132" s="90"/>
      <c r="J132" s="89"/>
      <c r="K132" s="89"/>
      <c r="L132" s="91"/>
      <c r="M132" s="89"/>
      <c r="N132" s="105"/>
      <c r="O132" s="12"/>
    </row>
    <row r="133" spans="1:15" x14ac:dyDescent="0.3">
      <c r="A133" s="88" t="s">
        <v>179</v>
      </c>
      <c r="B133" s="119" t="str">
        <f>VLOOKUP(A133, 'WMS Attendance'!B:G, 2, FALSE)</f>
        <v>30LS03AB07</v>
      </c>
      <c r="C133" s="8" t="s">
        <v>29</v>
      </c>
      <c r="D133" s="110" t="s">
        <v>10</v>
      </c>
      <c r="E133" s="23" t="str">
        <f>VLOOKUP(A133,'WMS Attendance'!B:G,6, FALSE)</f>
        <v>OUT - Flex</v>
      </c>
      <c r="F133" s="39" t="str">
        <f>IF(ISBLANK(VLOOKUP(A133, 'WMS Attendance'!B:G, 5, FALSE)), "", VLOOKUP(A133, 'WMS Attendance'!B:G, 5, FALSE))</f>
        <v/>
      </c>
      <c r="G133" s="123">
        <v>0.20833333333333334</v>
      </c>
      <c r="H133" s="89"/>
      <c r="I133" s="90"/>
      <c r="J133" s="90"/>
      <c r="K133" s="89"/>
      <c r="L133" s="91"/>
      <c r="M133" s="89"/>
      <c r="N133" s="105"/>
    </row>
    <row r="134" spans="1:15" x14ac:dyDescent="0.3">
      <c r="A134" s="88" t="s">
        <v>180</v>
      </c>
      <c r="B134" s="119" t="str">
        <f>VLOOKUP(A134, 'WMS Attendance'!B:G, 2, FALSE)</f>
        <v>30LS037S06</v>
      </c>
      <c r="C134" s="8" t="s">
        <v>29</v>
      </c>
      <c r="D134" s="110" t="s">
        <v>10</v>
      </c>
      <c r="E134" s="23" t="str">
        <f>VLOOKUP(A134,'WMS Attendance'!B:G,6, FALSE)</f>
        <v>OUT - Flex</v>
      </c>
      <c r="F134" s="39" t="str">
        <f>IF(ISBLANK(VLOOKUP(A134, 'WMS Attendance'!B:G, 5, FALSE)), "", VLOOKUP(A134, 'WMS Attendance'!B:G, 5, FALSE))</f>
        <v/>
      </c>
      <c r="G134" s="81"/>
      <c r="H134" s="89"/>
      <c r="I134" s="90"/>
      <c r="J134" s="90"/>
      <c r="K134" s="89"/>
      <c r="L134" s="91"/>
      <c r="M134" s="89"/>
      <c r="N134" s="105"/>
    </row>
    <row r="135" spans="1:15" x14ac:dyDescent="0.3">
      <c r="A135" s="88" t="s">
        <v>181</v>
      </c>
      <c r="B135" s="119" t="str">
        <f>VLOOKUP(A135, 'WMS Attendance'!B:G, 2, FALSE)</f>
        <v>30LS03AE03</v>
      </c>
      <c r="C135" s="8" t="s">
        <v>29</v>
      </c>
      <c r="D135" s="110" t="s">
        <v>10</v>
      </c>
      <c r="E135" s="23" t="str">
        <f>VLOOKUP(A135,'WMS Attendance'!B:G,6, FALSE)</f>
        <v>OUT - Flex</v>
      </c>
      <c r="F135" s="39" t="str">
        <f>IF(ISBLANK(VLOOKUP(A135, 'WMS Attendance'!B:G, 5, FALSE)), "", VLOOKUP(A135, 'WMS Attendance'!B:G, 5, FALSE))</f>
        <v/>
      </c>
      <c r="G135" s="81"/>
      <c r="H135" s="89"/>
      <c r="I135" s="90"/>
      <c r="J135" s="90"/>
      <c r="K135" s="89"/>
      <c r="L135" s="91"/>
      <c r="M135" s="89"/>
      <c r="N135" s="105"/>
    </row>
    <row r="136" spans="1:15" x14ac:dyDescent="0.3">
      <c r="A136" s="88" t="s">
        <v>182</v>
      </c>
      <c r="B136" s="119" t="str">
        <f>VLOOKUP(A136, 'WMS Attendance'!B:G, 2, FALSE)</f>
        <v>30ES032V0A</v>
      </c>
      <c r="C136" s="8" t="s">
        <v>29</v>
      </c>
      <c r="D136" s="110" t="s">
        <v>10</v>
      </c>
      <c r="E136" s="23" t="str">
        <f>VLOOKUP(A136,'WMS Attendance'!B:G,6, FALSE)</f>
        <v>OUT - Flex</v>
      </c>
      <c r="F136" s="39" t="str">
        <f>IF(ISBLANK(VLOOKUP(A136, 'WMS Attendance'!B:G, 5, FALSE)), "", VLOOKUP(A136, 'WMS Attendance'!B:G, 5, FALSE))</f>
        <v/>
      </c>
      <c r="G136" s="181">
        <v>0.20833333333333334</v>
      </c>
      <c r="H136" s="89"/>
      <c r="I136" s="90"/>
      <c r="J136" s="89"/>
      <c r="K136" s="89"/>
      <c r="L136" s="91"/>
      <c r="M136" s="89"/>
      <c r="N136" s="105"/>
    </row>
    <row r="137" spans="1:15" x14ac:dyDescent="0.3">
      <c r="A137" s="88" t="s">
        <v>183</v>
      </c>
      <c r="B137" s="119" t="str">
        <f>VLOOKUP(A137, 'WMS Attendance'!B:G, 2, FALSE)</f>
        <v>30ES032X0G</v>
      </c>
      <c r="C137" s="8" t="s">
        <v>29</v>
      </c>
      <c r="D137" s="110" t="s">
        <v>10</v>
      </c>
      <c r="E137" s="23" t="str">
        <f>VLOOKUP(A137,'WMS Attendance'!B:G,6, FALSE)</f>
        <v>OUT - Flex</v>
      </c>
      <c r="F137" s="39" t="str">
        <f>IF(ISBLANK(VLOOKUP(A137, 'WMS Attendance'!B:G, 5, FALSE)), "", VLOOKUP(A137, 'WMS Attendance'!B:G, 5, FALSE))</f>
        <v/>
      </c>
      <c r="G137" s="81"/>
      <c r="H137" s="89"/>
      <c r="I137" s="90"/>
      <c r="J137" s="89"/>
      <c r="K137" s="89"/>
      <c r="L137" s="91"/>
      <c r="M137" s="89"/>
      <c r="N137" s="105"/>
    </row>
    <row r="138" spans="1:15" x14ac:dyDescent="0.3">
      <c r="A138" s="88" t="s">
        <v>184</v>
      </c>
      <c r="B138" s="119" t="str">
        <f>VLOOKUP(A138, 'WMS Attendance'!B:G, 2, FALSE)</f>
        <v>30ES032M0Q (ICT)</v>
      </c>
      <c r="C138" s="8" t="s">
        <v>102</v>
      </c>
      <c r="D138" s="110" t="s">
        <v>10</v>
      </c>
      <c r="E138" s="23" t="str">
        <f>VLOOKUP(A138,'WMS Attendance'!B:G,6, FALSE)</f>
        <v>OUT - Flex</v>
      </c>
      <c r="F138" s="39" t="str">
        <f>IF(ISBLANK(VLOOKUP(A138, 'WMS Attendance'!B:G, 5, FALSE)), "", VLOOKUP(A138, 'WMS Attendance'!B:G, 5, FALSE))</f>
        <v/>
      </c>
      <c r="G138" s="81" t="s">
        <v>173</v>
      </c>
      <c r="H138" s="89"/>
      <c r="I138" s="90"/>
      <c r="J138" s="89"/>
      <c r="K138" s="89"/>
      <c r="L138" s="91"/>
      <c r="M138" s="89"/>
      <c r="N138" s="105"/>
    </row>
    <row r="139" spans="1:15" x14ac:dyDescent="0.3">
      <c r="A139" s="88" t="s">
        <v>185</v>
      </c>
      <c r="B139" s="119" t="str">
        <f>VLOOKUP(A139, 'WMS Attendance'!B:G, 2, FALSE)</f>
        <v>30LS03V807</v>
      </c>
      <c r="C139" s="8" t="s">
        <v>29</v>
      </c>
      <c r="D139" s="177" t="s">
        <v>1207</v>
      </c>
      <c r="E139" s="42" t="str">
        <f>VLOOKUP(A139,'WMS Attendance'!B:G,6, FALSE)</f>
        <v>OUT - Flex</v>
      </c>
      <c r="F139" s="39" t="str">
        <f>IF(ISBLANK(VLOOKUP(A139, 'WMS Attendance'!B:G, 5, FALSE)), "", VLOOKUP(A139, 'WMS Attendance'!B:G, 5, FALSE))</f>
        <v>No CIOs/No Tasks - Special Project</v>
      </c>
      <c r="G139" s="123">
        <v>0.20833333333333334</v>
      </c>
      <c r="H139" s="89"/>
      <c r="I139" s="89"/>
      <c r="J139" s="89"/>
      <c r="K139" s="89"/>
      <c r="L139" s="91"/>
      <c r="M139" s="89"/>
      <c r="N139" s="105"/>
    </row>
    <row r="140" spans="1:15" x14ac:dyDescent="0.3">
      <c r="A140" s="88" t="s">
        <v>186</v>
      </c>
      <c r="B140" s="119" t="str">
        <f>VLOOKUP(A140, 'WMS Attendance'!B:G, 2, FALSE)</f>
        <v>30LS038Y09</v>
      </c>
      <c r="C140" s="8" t="s">
        <v>29</v>
      </c>
      <c r="D140" s="110" t="s">
        <v>13</v>
      </c>
      <c r="E140" s="23" t="str">
        <f>VLOOKUP(A140,'WMS Attendance'!B:G,6, FALSE)</f>
        <v>OUT - Flex</v>
      </c>
      <c r="F140" s="39" t="str">
        <f>IF(ISBLANK(VLOOKUP(A140, 'WMS Attendance'!B:G, 5, FALSE)), "", VLOOKUP(A140, 'WMS Attendance'!B:G, 5, FALSE))</f>
        <v/>
      </c>
      <c r="G140" s="81"/>
      <c r="H140" s="89"/>
      <c r="I140" s="90"/>
      <c r="J140" s="90"/>
      <c r="K140" s="90"/>
      <c r="L140" s="91"/>
      <c r="M140" s="89"/>
      <c r="N140" s="105"/>
    </row>
    <row r="141" spans="1:15" x14ac:dyDescent="0.3">
      <c r="A141" s="88" t="s">
        <v>187</v>
      </c>
      <c r="B141" s="119" t="str">
        <f>VLOOKUP(A141, 'WMS Attendance'!B:G, 2, FALSE)</f>
        <v>30LS03V809</v>
      </c>
      <c r="C141" s="8" t="s">
        <v>29</v>
      </c>
      <c r="D141" s="110" t="s">
        <v>13</v>
      </c>
      <c r="E141" s="23" t="str">
        <f>VLOOKUP(A141,'WMS Attendance'!B:G,6, FALSE)</f>
        <v>OUT - Flex</v>
      </c>
      <c r="F141" s="39" t="str">
        <f>IF(ISBLANK(VLOOKUP(A141, 'WMS Attendance'!B:G, 5, FALSE)), "", VLOOKUP(A141, 'WMS Attendance'!B:G, 5, FALSE))</f>
        <v/>
      </c>
      <c r="G141" s="181">
        <v>0.20833333333333334</v>
      </c>
      <c r="H141" s="89"/>
      <c r="I141" s="90"/>
      <c r="J141" s="90"/>
      <c r="K141" s="90"/>
      <c r="L141" s="91"/>
      <c r="M141" s="89"/>
      <c r="N141" s="105"/>
    </row>
    <row r="142" spans="1:15" x14ac:dyDescent="0.3">
      <c r="A142" s="88" t="s">
        <v>189</v>
      </c>
      <c r="B142" s="119" t="str">
        <f>VLOOKUP(A142, 'WMS Attendance'!B:G, 2, FALSE)</f>
        <v>30ES032T05</v>
      </c>
      <c r="C142" s="8" t="s">
        <v>29</v>
      </c>
      <c r="D142" s="110" t="s">
        <v>1207</v>
      </c>
      <c r="E142" s="23" t="str">
        <f>VLOOKUP(A142,'WMS Attendance'!B:G,6, FALSE)</f>
        <v>OUT - LOA</v>
      </c>
      <c r="F142" s="39" t="str">
        <f>IF(ISBLANK(VLOOKUP(A142, 'WMS Attendance'!B:G, 5, FALSE)), "", VLOOKUP(A142, 'WMS Attendance'!B:G, 5, FALSE))</f>
        <v>LOA - returning 01/08/2024 - mc</v>
      </c>
      <c r="G142" s="123">
        <v>0.20833333333333334</v>
      </c>
      <c r="H142" s="89"/>
      <c r="I142" s="89"/>
      <c r="J142" s="89"/>
      <c r="K142" s="89"/>
      <c r="L142" s="91"/>
      <c r="M142" s="89"/>
      <c r="N142" s="105"/>
    </row>
    <row r="143" spans="1:15" x14ac:dyDescent="0.3">
      <c r="A143" s="88" t="s">
        <v>190</v>
      </c>
      <c r="B143" s="119" t="str">
        <f>VLOOKUP(A143, 'WMS Attendance'!B:G, 2, FALSE)</f>
        <v>30ES032L04</v>
      </c>
      <c r="C143" s="8" t="s">
        <v>29</v>
      </c>
      <c r="D143" s="110" t="s">
        <v>13</v>
      </c>
      <c r="E143" s="23" t="str">
        <f>VLOOKUP(A143,'WMS Attendance'!B:G,6, FALSE)</f>
        <v>OUT - Pre Approved</v>
      </c>
      <c r="F143" s="39" t="str">
        <f>IF(ISBLANK(VLOOKUP(A143, 'WMS Attendance'!B:G, 5, FALSE)), "", VLOOKUP(A143, 'WMS Attendance'!B:G, 5, FALSE))</f>
        <v>11/9 - 11/20/2023 Pre-approved VAC JB</v>
      </c>
      <c r="G143" s="123">
        <v>0.20833333333333334</v>
      </c>
      <c r="H143" s="89"/>
      <c r="I143" s="90"/>
      <c r="J143" s="89"/>
      <c r="K143" s="89"/>
      <c r="L143" s="91"/>
      <c r="M143" s="89"/>
      <c r="N143" s="105"/>
    </row>
    <row r="144" spans="1:15" x14ac:dyDescent="0.3">
      <c r="A144" s="88" t="s">
        <v>194</v>
      </c>
      <c r="B144" s="119" t="str">
        <f>VLOOKUP(A144, 'WMS Attendance'!B:G, 2, FALSE)</f>
        <v>30LS037S05</v>
      </c>
      <c r="C144" s="8" t="s">
        <v>29</v>
      </c>
      <c r="D144" s="178" t="s">
        <v>1207</v>
      </c>
      <c r="E144" s="23" t="str">
        <f>VLOOKUP(A144,'WMS Attendance'!B:G,6, FALSE)</f>
        <v>OUT - Vacation</v>
      </c>
      <c r="F144" s="39" t="str">
        <f>IF(ISBLANK(VLOOKUP(A144, 'WMS Attendance'!B:G, 5, FALSE)), "", VLOOKUP(A144, 'WMS Attendance'!B:G, 5, FALSE))</f>
        <v/>
      </c>
      <c r="G144" s="77" t="s">
        <v>47</v>
      </c>
      <c r="H144" s="89"/>
      <c r="I144" s="90"/>
      <c r="J144" s="89"/>
      <c r="K144" s="89"/>
      <c r="L144" s="91"/>
      <c r="M144" s="89"/>
      <c r="N144" s="105"/>
    </row>
    <row r="145" spans="1:14" x14ac:dyDescent="0.3">
      <c r="A145" s="88" t="s">
        <v>195</v>
      </c>
      <c r="B145" s="119" t="str">
        <f>VLOOKUP(A145, 'WMS Attendance'!B:G, 2, FALSE)</f>
        <v>30ES032M03</v>
      </c>
      <c r="C145" s="8" t="s">
        <v>102</v>
      </c>
      <c r="D145" s="110" t="s">
        <v>10</v>
      </c>
      <c r="E145" s="23" t="str">
        <f>VLOOKUP(A145,'WMS Attendance'!B:G,6, FALSE)</f>
        <v>OUT - Vacation</v>
      </c>
      <c r="F145" s="39" t="str">
        <f>IF(ISBLANK(VLOOKUP(A145, 'WMS Attendance'!B:G, 5, FALSE)), "", VLOOKUP(A145, 'WMS Attendance'!B:G, 5, FALSE))</f>
        <v>Pre-approved Vac 11/20/2023 3 pm-4:30 pm (jbh)</v>
      </c>
      <c r="G145" s="123" t="s">
        <v>108</v>
      </c>
      <c r="H145" s="89">
        <v>1</v>
      </c>
      <c r="I145" s="90">
        <v>7.7777777777777779E-2</v>
      </c>
      <c r="J145" s="89"/>
      <c r="K145" s="89"/>
      <c r="L145" s="91"/>
      <c r="M145" s="89"/>
      <c r="N145" s="105"/>
    </row>
    <row r="146" spans="1:14" x14ac:dyDescent="0.3">
      <c r="A146" s="88" t="s">
        <v>191</v>
      </c>
      <c r="B146" s="119" t="str">
        <f>VLOOKUP(A146, 'WMS Attendance'!B:G, 2, FALSE)</f>
        <v>30ES032X04</v>
      </c>
      <c r="C146" s="8" t="s">
        <v>29</v>
      </c>
      <c r="D146" s="110" t="s">
        <v>10</v>
      </c>
      <c r="E146" s="23" t="str">
        <f>VLOOKUP(A146,'WMS Attendance'!B:G,6, FALSE)</f>
        <v>OUT - Vacation</v>
      </c>
      <c r="F146" s="39" t="str">
        <f>IF(ISBLANK(VLOOKUP(A146, 'WMS Attendance'!B:G, 5, FALSE)), "", VLOOKUP(A146, 'WMS Attendance'!B:G, 5, FALSE))</f>
        <v>Pre-approved Vac 11/13/2023-11/22/2023 (jbh)</v>
      </c>
      <c r="G146" s="83"/>
      <c r="H146" s="89"/>
      <c r="I146" s="90"/>
      <c r="J146" s="89"/>
      <c r="K146" s="89"/>
      <c r="L146" s="91"/>
      <c r="M146" s="89"/>
      <c r="N146" s="105"/>
    </row>
    <row r="147" spans="1:14" x14ac:dyDescent="0.3">
      <c r="A147" s="88" t="s">
        <v>192</v>
      </c>
      <c r="B147" s="119" t="str">
        <f>VLOOKUP(A147, 'WMS Attendance'!B:G, 2, FALSE)</f>
        <v>30LS038Y08</v>
      </c>
      <c r="C147" s="8" t="s">
        <v>29</v>
      </c>
      <c r="D147" s="125" t="s">
        <v>10</v>
      </c>
      <c r="E147" s="23" t="str">
        <f>VLOOKUP(A147,'WMS Attendance'!B:G,6, FALSE)</f>
        <v>OUT - Vacation</v>
      </c>
      <c r="F147" s="39" t="str">
        <f>IF(ISBLANK(VLOOKUP(A147, 'WMS Attendance'!B:G, 5, FALSE)), "", VLOOKUP(A147, 'WMS Attendance'!B:G, 5, FALSE))</f>
        <v>Pre-approved Vac 11/20/2023-11/21/2023 (jbh)</v>
      </c>
      <c r="G147" s="81"/>
      <c r="H147" s="89"/>
      <c r="I147" s="90"/>
      <c r="J147" s="90"/>
      <c r="K147" s="89"/>
      <c r="L147" s="91"/>
      <c r="M147" s="89"/>
      <c r="N147" s="105"/>
    </row>
    <row r="148" spans="1:14" x14ac:dyDescent="0.3">
      <c r="A148" s="88" t="s">
        <v>193</v>
      </c>
      <c r="B148" s="119" t="str">
        <f>VLOOKUP(A148, 'WMS Attendance'!B:G, 2, FALSE)</f>
        <v>30LS03KO0E</v>
      </c>
      <c r="C148" s="8" t="s">
        <v>29</v>
      </c>
      <c r="D148" s="110" t="s">
        <v>10</v>
      </c>
      <c r="E148" s="23" t="str">
        <f>VLOOKUP(A148,'WMS Attendance'!B:G,6, FALSE)</f>
        <v>OUT - Vacation</v>
      </c>
      <c r="F148" s="39" t="str">
        <f>IF(ISBLANK(VLOOKUP(A148, 'WMS Attendance'!B:G, 5, FALSE)), "", VLOOKUP(A148, 'WMS Attendance'!B:G, 5, FALSE))</f>
        <v>Pre-approved Vac 11/20/2023-11/22/2023 (jbh)</v>
      </c>
      <c r="G148" s="81"/>
      <c r="H148" s="89"/>
      <c r="I148" s="89"/>
      <c r="J148" s="89"/>
      <c r="K148" s="89"/>
      <c r="L148" s="91"/>
      <c r="M148" s="89"/>
      <c r="N148" s="105"/>
    </row>
    <row r="149" spans="1:14" x14ac:dyDescent="0.3">
      <c r="A149" s="88"/>
      <c r="B149" s="119" t="e">
        <f>VLOOKUP(A149, 'WMS Attendance'!B:G, 2, FALSE)</f>
        <v>#N/A</v>
      </c>
      <c r="C149" s="8" t="s">
        <v>29</v>
      </c>
      <c r="D149" s="110" t="s">
        <v>10</v>
      </c>
      <c r="E149" s="23" t="e">
        <f>VLOOKUP(A149,'WMS Attendance'!B:G,6, FALSE)</f>
        <v>#N/A</v>
      </c>
      <c r="F149" s="39" t="e">
        <f>IF(ISBLANK(VLOOKUP(A149, 'WMS Attendance'!B:G, 5, FALSE)), "", VLOOKUP(A149, 'WMS Attendance'!B:G, 5, FALSE))</f>
        <v>#N/A</v>
      </c>
      <c r="G149" s="81"/>
      <c r="H149" s="89"/>
      <c r="I149" s="89"/>
      <c r="J149" s="89"/>
      <c r="K149" s="89"/>
      <c r="L149" s="91"/>
      <c r="M149" s="89"/>
      <c r="N149" s="105"/>
    </row>
    <row r="150" spans="1:14" x14ac:dyDescent="0.3">
      <c r="A150" s="88"/>
      <c r="B150" s="119" t="e">
        <f>VLOOKUP(A150, 'WMS Attendance'!B:G, 2, FALSE)</f>
        <v>#N/A</v>
      </c>
      <c r="C150" s="8" t="s">
        <v>29</v>
      </c>
      <c r="D150" s="110" t="s">
        <v>10</v>
      </c>
      <c r="E150" s="23" t="e">
        <f>VLOOKUP(A150,'WMS Attendance'!B:G,6, FALSE)</f>
        <v>#N/A</v>
      </c>
      <c r="F150" s="39" t="e">
        <f>IF(ISBLANK(VLOOKUP(A150, 'WMS Attendance'!B:G, 5, FALSE)), "", VLOOKUP(A150, 'WMS Attendance'!B:G, 5, FALSE))</f>
        <v>#N/A</v>
      </c>
      <c r="G150" s="81"/>
      <c r="H150" s="89"/>
      <c r="I150" s="89"/>
      <c r="J150" s="89"/>
      <c r="K150" s="89"/>
      <c r="L150" s="91"/>
      <c r="M150" s="89"/>
      <c r="N150" s="105"/>
    </row>
    <row r="151" spans="1:14" x14ac:dyDescent="0.3">
      <c r="A151" s="88"/>
      <c r="B151" s="119" t="e">
        <f>VLOOKUP(A155, 'WMS Attendance'!B:G, 2, FALSE)</f>
        <v>#N/A</v>
      </c>
      <c r="C151" s="8" t="s">
        <v>29</v>
      </c>
      <c r="D151" s="110" t="s">
        <v>10</v>
      </c>
      <c r="E151" s="23" t="e">
        <f>VLOOKUP(A155,'WMS Attendance'!B:G,6, FALSE)</f>
        <v>#N/A</v>
      </c>
      <c r="F151" s="39" t="e">
        <f>IF(ISBLANK(VLOOKUP(A155, 'WMS Attendance'!B:G, 5, FALSE)), "", VLOOKUP(A155, 'WMS Attendance'!B:G, 5, FALSE))</f>
        <v>#N/A</v>
      </c>
      <c r="G151" s="81"/>
      <c r="H151" s="89"/>
      <c r="I151" s="89"/>
      <c r="J151" s="89"/>
      <c r="K151" s="89"/>
      <c r="L151" s="91"/>
      <c r="M151" s="89"/>
      <c r="N151" s="105"/>
    </row>
    <row r="152" spans="1:14" x14ac:dyDescent="0.3">
      <c r="A152" s="88"/>
      <c r="B152" s="119" t="e">
        <f>VLOOKUP(A152, 'WMS Attendance'!B:G, 2, FALSE)</f>
        <v>#N/A</v>
      </c>
      <c r="C152" s="8" t="s">
        <v>29</v>
      </c>
      <c r="D152" s="110" t="s">
        <v>10</v>
      </c>
      <c r="E152" s="23" t="e">
        <f>VLOOKUP(A152,'WMS Attendance'!B:G,6, FALSE)</f>
        <v>#N/A</v>
      </c>
      <c r="F152" s="39" t="e">
        <f>IF(ISBLANK(VLOOKUP(A152, 'WMS Attendance'!B:G, 5, FALSE)), "", VLOOKUP(A152, 'WMS Attendance'!B:G, 5, FALSE))</f>
        <v>#N/A</v>
      </c>
      <c r="G152" s="81"/>
      <c r="H152" s="89"/>
      <c r="I152" s="89"/>
      <c r="J152" s="89"/>
      <c r="K152" s="89"/>
      <c r="L152" s="91"/>
      <c r="M152" s="89"/>
      <c r="N152" s="105"/>
    </row>
    <row r="153" spans="1:14" x14ac:dyDescent="0.3">
      <c r="A153" s="88"/>
      <c r="B153" s="119" t="e">
        <f>VLOOKUP(A153, 'WMS Attendance'!B:G, 2, FALSE)</f>
        <v>#N/A</v>
      </c>
      <c r="C153" s="8" t="s">
        <v>29</v>
      </c>
      <c r="D153" s="110" t="s">
        <v>10</v>
      </c>
      <c r="E153" s="23" t="e">
        <f>VLOOKUP(A153,'WMS Attendance'!B:G,6, FALSE)</f>
        <v>#N/A</v>
      </c>
      <c r="F153" s="39" t="e">
        <f>IF(ISBLANK(VLOOKUP(A153, 'WMS Attendance'!B:G, 5, FALSE)), "", VLOOKUP(A153, 'WMS Attendance'!B:G, 5, FALSE))</f>
        <v>#N/A</v>
      </c>
      <c r="G153" s="81"/>
      <c r="H153" s="89"/>
      <c r="I153" s="89"/>
      <c r="J153" s="89"/>
      <c r="K153" s="89"/>
      <c r="L153" s="91"/>
      <c r="M153" s="89"/>
      <c r="N153" s="105"/>
    </row>
    <row r="154" spans="1:14" x14ac:dyDescent="0.3">
      <c r="A154" s="88"/>
      <c r="B154" s="119" t="e">
        <f>VLOOKUP(A154, 'WMS Attendance'!B:G, 2, FALSE)</f>
        <v>#N/A</v>
      </c>
      <c r="C154" s="8" t="s">
        <v>29</v>
      </c>
      <c r="D154" s="110" t="s">
        <v>10</v>
      </c>
      <c r="E154" s="23" t="e">
        <f>VLOOKUP(A154,'WMS Attendance'!B:G,6, FALSE)</f>
        <v>#N/A</v>
      </c>
      <c r="F154" s="39" t="e">
        <f>IF(ISBLANK(VLOOKUP(A154, 'WMS Attendance'!B:G, 5, FALSE)), "", VLOOKUP(A154, 'WMS Attendance'!B:G, 5, FALSE))</f>
        <v>#N/A</v>
      </c>
      <c r="G154" s="81"/>
      <c r="H154" s="89"/>
      <c r="I154" s="89"/>
      <c r="J154" s="89"/>
      <c r="K154" s="89"/>
      <c r="L154" s="91"/>
      <c r="M154" s="89"/>
      <c r="N154" s="105"/>
    </row>
    <row r="155" spans="1:14" x14ac:dyDescent="0.3">
      <c r="A155" s="88" t="s">
        <v>1179</v>
      </c>
      <c r="B155" s="119" t="e">
        <f>VLOOKUP(#REF!, 'WMS Attendance'!B:G, 2, FALSE)</f>
        <v>#REF!</v>
      </c>
      <c r="C155" s="8" t="s">
        <v>29</v>
      </c>
      <c r="D155" s="110" t="s">
        <v>10</v>
      </c>
      <c r="E155" s="84" t="e">
        <f>VLOOKUP(#REF!,'WMS Attendance'!B:G,6, FALSE)</f>
        <v>#REF!</v>
      </c>
      <c r="F155" s="127" t="e">
        <f>IF(ISBLANK(VLOOKUP(#REF!, 'WMS Attendance'!B:G, 5, FALSE)), "", VLOOKUP(#REF!, 'WMS Attendance'!B:G, 5, FALSE))</f>
        <v>#REF!</v>
      </c>
      <c r="G155" s="81"/>
      <c r="H155" s="92"/>
      <c r="I155" s="92"/>
      <c r="J155" s="92"/>
      <c r="K155" s="92"/>
      <c r="L155" s="93"/>
      <c r="M155" s="92"/>
      <c r="N155" s="106"/>
    </row>
    <row r="156" spans="1:14" ht="19.5" x14ac:dyDescent="0.3">
      <c r="G156" s="21"/>
    </row>
    <row r="157" spans="1:14" ht="19.5" x14ac:dyDescent="0.3"/>
    <row r="158" spans="1:14" ht="19.5" x14ac:dyDescent="0.3"/>
    <row r="159" spans="1:14" ht="19.5" x14ac:dyDescent="0.3"/>
    <row r="160" spans="1:14" ht="19.5" x14ac:dyDescent="0.3"/>
    <row r="161" ht="19.5" x14ac:dyDescent="0.3"/>
    <row r="162" ht="19.5" x14ac:dyDescent="0.3"/>
    <row r="163" ht="19.5" x14ac:dyDescent="0.3"/>
    <row r="164" ht="19.5" x14ac:dyDescent="0.3"/>
    <row r="165" ht="19.5" x14ac:dyDescent="0.3"/>
    <row r="166" ht="19.5" x14ac:dyDescent="0.3"/>
    <row r="167" ht="19.5" x14ac:dyDescent="0.3"/>
    <row r="168" ht="19.5" x14ac:dyDescent="0.3"/>
    <row r="169" ht="19.5" x14ac:dyDescent="0.3"/>
    <row r="170" ht="19.5" x14ac:dyDescent="0.3"/>
    <row r="171" ht="19.5" x14ac:dyDescent="0.3"/>
    <row r="172" ht="19.5" x14ac:dyDescent="0.3"/>
    <row r="173" ht="19.5" x14ac:dyDescent="0.3"/>
    <row r="174" ht="19.5" x14ac:dyDescent="0.3"/>
    <row r="175" ht="19.5" x14ac:dyDescent="0.3"/>
    <row r="176" ht="19.5" x14ac:dyDescent="0.3"/>
    <row r="177" ht="19.5" x14ac:dyDescent="0.3"/>
    <row r="178" ht="19.5" x14ac:dyDescent="0.3"/>
    <row r="179" ht="19.5" x14ac:dyDescent="0.3"/>
    <row r="180" ht="19.5" x14ac:dyDescent="0.3"/>
    <row r="181" ht="19.5" x14ac:dyDescent="0.3"/>
    <row r="182" ht="19.5" x14ac:dyDescent="0.3"/>
    <row r="183" ht="19.5" x14ac:dyDescent="0.3"/>
    <row r="184" ht="19.5" x14ac:dyDescent="0.3"/>
    <row r="185" ht="19.5" x14ac:dyDescent="0.3"/>
    <row r="186" ht="19.5" x14ac:dyDescent="0.3"/>
    <row r="187" ht="19.5" x14ac:dyDescent="0.3"/>
    <row r="188" ht="19.5" x14ac:dyDescent="0.3"/>
    <row r="189" ht="19.5" x14ac:dyDescent="0.3"/>
    <row r="190" ht="19.5" x14ac:dyDescent="0.3"/>
    <row r="191" ht="19.5" x14ac:dyDescent="0.3"/>
    <row r="192" ht="19.5" x14ac:dyDescent="0.3"/>
    <row r="193" ht="19.5" x14ac:dyDescent="0.3"/>
    <row r="194" ht="19.5" x14ac:dyDescent="0.3"/>
    <row r="195" ht="19.5" x14ac:dyDescent="0.3"/>
    <row r="196" ht="19.5" x14ac:dyDescent="0.3"/>
    <row r="197" ht="19.5" x14ac:dyDescent="0.3"/>
    <row r="198" ht="19.5" x14ac:dyDescent="0.3"/>
    <row r="199" ht="19.5" x14ac:dyDescent="0.3"/>
    <row r="200" ht="19.5" x14ac:dyDescent="0.3"/>
    <row r="201" ht="19.5" x14ac:dyDescent="0.3"/>
    <row r="202" ht="19.5" x14ac:dyDescent="0.3"/>
    <row r="203" ht="19.5" x14ac:dyDescent="0.3"/>
    <row r="204" ht="19.5" x14ac:dyDescent="0.3"/>
    <row r="205" ht="19.5" x14ac:dyDescent="0.3"/>
    <row r="206" ht="19.5" x14ac:dyDescent="0.3"/>
    <row r="207" ht="19.5" x14ac:dyDescent="0.3"/>
    <row r="208" ht="19.5" x14ac:dyDescent="0.3"/>
    <row r="209" ht="19.5" x14ac:dyDescent="0.3"/>
    <row r="210" ht="19.5" x14ac:dyDescent="0.3"/>
    <row r="211" ht="19.5" x14ac:dyDescent="0.3"/>
    <row r="212" ht="19.5" x14ac:dyDescent="0.3"/>
    <row r="213" ht="19.5" x14ac:dyDescent="0.3"/>
    <row r="214" ht="19.5" x14ac:dyDescent="0.3"/>
    <row r="215" ht="19.5" x14ac:dyDescent="0.3"/>
    <row r="216" ht="19.5" x14ac:dyDescent="0.3"/>
    <row r="217" ht="19.5" x14ac:dyDescent="0.3"/>
    <row r="218" ht="19.5" x14ac:dyDescent="0.3"/>
    <row r="219" ht="19.5" x14ac:dyDescent="0.3"/>
    <row r="220" ht="19.5" x14ac:dyDescent="0.3"/>
    <row r="221" ht="19.5" x14ac:dyDescent="0.3"/>
    <row r="222" ht="19.5" x14ac:dyDescent="0.3"/>
    <row r="223" ht="19.5" x14ac:dyDescent="0.3"/>
    <row r="224" ht="19.5" x14ac:dyDescent="0.3"/>
    <row r="225" ht="19.5" x14ac:dyDescent="0.3"/>
    <row r="226" ht="19.5" x14ac:dyDescent="0.3"/>
    <row r="227" ht="19.5" x14ac:dyDescent="0.3"/>
    <row r="228" ht="19.5" x14ac:dyDescent="0.3"/>
    <row r="229" ht="19.5" x14ac:dyDescent="0.3"/>
    <row r="230" ht="19.5" x14ac:dyDescent="0.3"/>
    <row r="231" ht="19.5" x14ac:dyDescent="0.3"/>
    <row r="232" ht="19.5" x14ac:dyDescent="0.3"/>
    <row r="233" ht="19.5" x14ac:dyDescent="0.3"/>
    <row r="234" ht="19.5" x14ac:dyDescent="0.3"/>
    <row r="235" ht="19.5" x14ac:dyDescent="0.3"/>
    <row r="236" ht="19.5" x14ac:dyDescent="0.3"/>
    <row r="237" ht="19.5" x14ac:dyDescent="0.3"/>
    <row r="238" ht="19.5" x14ac:dyDescent="0.3"/>
    <row r="239" ht="19.5" x14ac:dyDescent="0.3"/>
    <row r="240" ht="19.5" x14ac:dyDescent="0.3"/>
    <row r="241" ht="19.5" x14ac:dyDescent="0.3"/>
    <row r="242" ht="19.5" x14ac:dyDescent="0.3"/>
    <row r="243" ht="19.5" x14ac:dyDescent="0.3"/>
    <row r="244" ht="19.5" x14ac:dyDescent="0.3"/>
    <row r="245" ht="19.5" x14ac:dyDescent="0.3"/>
    <row r="246" ht="19.5" x14ac:dyDescent="0.3"/>
    <row r="247" ht="19.5" x14ac:dyDescent="0.3"/>
    <row r="248" ht="19.5" x14ac:dyDescent="0.3"/>
    <row r="249" ht="19.5" x14ac:dyDescent="0.3"/>
    <row r="250" ht="19.5" x14ac:dyDescent="0.3"/>
    <row r="251" ht="19.5" x14ac:dyDescent="0.3"/>
    <row r="252" ht="19.5" x14ac:dyDescent="0.3"/>
    <row r="253" ht="19.5" x14ac:dyDescent="0.3"/>
    <row r="254" ht="19.5" x14ac:dyDescent="0.3"/>
    <row r="255" ht="19.5" x14ac:dyDescent="0.3"/>
    <row r="256" ht="19.5" x14ac:dyDescent="0.3"/>
    <row r="257" ht="19.5" x14ac:dyDescent="0.3"/>
    <row r="258" ht="19.5" x14ac:dyDescent="0.3"/>
    <row r="259" ht="19.5" x14ac:dyDescent="0.3"/>
    <row r="260" ht="19.5" x14ac:dyDescent="0.3"/>
    <row r="261" ht="19.5" x14ac:dyDescent="0.3"/>
    <row r="262" ht="19.5" x14ac:dyDescent="0.3"/>
    <row r="263" ht="19.5" x14ac:dyDescent="0.3"/>
    <row r="264" ht="19.5" x14ac:dyDescent="0.3"/>
    <row r="265" ht="19.5" x14ac:dyDescent="0.3"/>
    <row r="266" ht="19.5" x14ac:dyDescent="0.3"/>
    <row r="267" ht="19.5" x14ac:dyDescent="0.3"/>
    <row r="268" ht="19.5" x14ac:dyDescent="0.3"/>
    <row r="269" ht="19.5" x14ac:dyDescent="0.3"/>
    <row r="270" ht="19.5" x14ac:dyDescent="0.3"/>
    <row r="271" ht="19.5" x14ac:dyDescent="0.3"/>
    <row r="272" ht="19.5" x14ac:dyDescent="0.3"/>
    <row r="273" ht="19.5" x14ac:dyDescent="0.3"/>
    <row r="274" ht="19.5" x14ac:dyDescent="0.3"/>
    <row r="275" ht="19.5" x14ac:dyDescent="0.3"/>
    <row r="276" ht="19.5" x14ac:dyDescent="0.3"/>
    <row r="277" ht="19.5" x14ac:dyDescent="0.3"/>
    <row r="278" ht="19.5" x14ac:dyDescent="0.3"/>
    <row r="279" ht="19.5" x14ac:dyDescent="0.3"/>
    <row r="280" ht="19.5" x14ac:dyDescent="0.3"/>
    <row r="281" ht="19.5" x14ac:dyDescent="0.3"/>
    <row r="282" ht="19.5" x14ac:dyDescent="0.3"/>
    <row r="283" ht="19.5" x14ac:dyDescent="0.3"/>
    <row r="284" ht="19.5" x14ac:dyDescent="0.3"/>
    <row r="285" ht="19.5" x14ac:dyDescent="0.3"/>
    <row r="286" ht="19.5" x14ac:dyDescent="0.3"/>
    <row r="287" ht="19.5" x14ac:dyDescent="0.3"/>
    <row r="288" ht="19.5" x14ac:dyDescent="0.3"/>
    <row r="289" ht="19.5" x14ac:dyDescent="0.3"/>
    <row r="290" ht="19.5" x14ac:dyDescent="0.3"/>
    <row r="291" ht="19.5" x14ac:dyDescent="0.3"/>
    <row r="292" ht="19.5" x14ac:dyDescent="0.3"/>
    <row r="293" ht="19.5" x14ac:dyDescent="0.3"/>
    <row r="294" ht="19.5" x14ac:dyDescent="0.3"/>
  </sheetData>
  <sortState xmlns:xlrd2="http://schemas.microsoft.com/office/spreadsheetml/2017/richdata2" ref="A2:O294">
    <sortCondition ref="E2:E294"/>
    <sortCondition descending="1" sortBy="cellColor" ref="B2:B294" dxfId="13"/>
    <sortCondition descending="1" sortBy="cellColor" ref="F2:F294" dxfId="12"/>
    <sortCondition sortBy="cellColor" ref="G2:G294" dxfId="11"/>
    <sortCondition sortBy="cellColor" ref="C2:C294" dxfId="10"/>
    <sortCondition sortBy="cellColor" ref="C2:C294" dxfId="9"/>
    <sortCondition sortBy="cellColor" ref="G2:G294" dxfId="8"/>
    <sortCondition ref="D2:D294"/>
    <sortCondition ref="C2:C294"/>
    <sortCondition ref="F2:F294"/>
  </sortState>
  <mergeCells count="1">
    <mergeCell ref="I1:M1"/>
  </mergeCells>
  <conditionalFormatting sqref="B2:B75 B77:B155 F1:F1048576">
    <cfRule type="containsText" dxfId="7" priority="14" operator="containsText" text="ABD">
      <formula>NOT(ISERROR(SEARCH("ABD",B1)))</formula>
    </cfRule>
  </conditionalFormatting>
  <conditionalFormatting sqref="I1:M1048576">
    <cfRule type="endsWith" dxfId="6" priority="6" operator="endsWith" text="*">
      <formula>RIGHT(I1,LEN("*"))="*"</formula>
    </cfRule>
  </conditionalFormatting>
  <conditionalFormatting sqref="D1:D1048576">
    <cfRule type="containsText" dxfId="5" priority="5" operator="containsText" text="spanish">
      <formula>NOT(ISERROR(SEARCH("spanish",D1)))</formula>
    </cfRule>
  </conditionalFormatting>
  <conditionalFormatting sqref="C1:C44 C53:C1048576">
    <cfRule type="endsWith" dxfId="4" priority="4" operator="endsWith" text="GR">
      <formula>RIGHT(C1,LEN("GR"))="GR"</formula>
    </cfRule>
  </conditionalFormatting>
  <conditionalFormatting sqref="C1:C44 C53:C1048576">
    <cfRule type="endsWith" dxfId="3" priority="3" operator="endsWith" text="GRWP">
      <formula>RIGHT(C1,LEN("GRWP"))="GRWP"</formula>
    </cfRule>
  </conditionalFormatting>
  <conditionalFormatting sqref="C2:C34 G1 G35:G1048576">
    <cfRule type="containsText" dxfId="2" priority="2" operator="containsText" text="ABD">
      <formula>NOT(ISERROR(SEARCH("ABD",C1)))</formula>
    </cfRule>
  </conditionalFormatting>
  <conditionalFormatting sqref="C45:C52">
    <cfRule type="containsText" dxfId="0" priority="1" operator="containsText" text="ABD">
      <formula>NOT(ISERROR(SEARCH("ABD",C45)))</formula>
    </cfRule>
  </conditionalFormatting>
  <pageMargins left="0.7" right="0.7" top="0.75" bottom="0.75" header="0.3" footer="0.3"/>
  <pageSetup fitToWidth="0" fitToHeight="0" orientation="landscape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27D14E-0BFA-4E35-B2F1-401AAD11CAD4}">
  <sheetPr codeName="Sheet3">
    <tabColor rgb="FFC00000"/>
  </sheetPr>
  <dimension ref="A1:N23"/>
  <sheetViews>
    <sheetView showGridLines="0" workbookViewId="0">
      <pane ySplit="1" topLeftCell="A2" activePane="bottomLeft" state="frozen"/>
      <selection pane="bottomLeft" activeCell="D1" sqref="D1"/>
    </sheetView>
  </sheetViews>
  <sheetFormatPr defaultRowHeight="15" x14ac:dyDescent="0.25"/>
  <cols>
    <col min="1" max="1" width="28.140625" bestFit="1" customWidth="1"/>
    <col min="2" max="2" width="19" bestFit="1" customWidth="1"/>
    <col min="3" max="3" width="21.5703125" bestFit="1" customWidth="1"/>
    <col min="4" max="4" width="8.85546875" bestFit="1" customWidth="1"/>
    <col min="5" max="5" width="43.28515625" customWidth="1"/>
    <col min="6" max="6" width="3.42578125" customWidth="1"/>
    <col min="7" max="7" width="18.28515625" bestFit="1" customWidth="1"/>
    <col min="8" max="8" width="43.28515625" bestFit="1" customWidth="1"/>
    <col min="9" max="9" width="6" bestFit="1" customWidth="1"/>
    <col min="10" max="10" width="4.5703125" customWidth="1"/>
    <col min="11" max="12" width="13.5703125" customWidth="1"/>
  </cols>
  <sheetData>
    <row r="1" spans="1:14" ht="64.5" customHeight="1" x14ac:dyDescent="0.35">
      <c r="A1" s="135" t="s">
        <v>196</v>
      </c>
      <c r="B1" s="136" t="s">
        <v>197</v>
      </c>
      <c r="C1" s="137" t="s">
        <v>1180</v>
      </c>
      <c r="D1" s="136" t="s">
        <v>1181</v>
      </c>
      <c r="E1" s="139"/>
      <c r="F1" s="140" t="s">
        <v>1182</v>
      </c>
      <c r="G1" s="141" t="s">
        <v>4</v>
      </c>
      <c r="H1" s="142" t="s">
        <v>200</v>
      </c>
      <c r="I1" s="143" t="s">
        <v>1183</v>
      </c>
      <c r="J1" s="144"/>
      <c r="K1" s="145" t="s">
        <v>1184</v>
      </c>
      <c r="L1" s="146" t="s">
        <v>1185</v>
      </c>
      <c r="M1" s="144"/>
      <c r="N1" s="144"/>
    </row>
    <row r="2" spans="1:14" ht="21" x14ac:dyDescent="0.35">
      <c r="A2" s="166" t="s">
        <v>32</v>
      </c>
      <c r="B2" s="148" t="str">
        <f>VLOOKUP(A2, 'WMS Attendance'!B:G, 2, FALSE)</f>
        <v>30ES032T0G</v>
      </c>
      <c r="C2" s="149">
        <v>9</v>
      </c>
      <c r="D2" s="150" t="s">
        <v>1186</v>
      </c>
      <c r="E2" s="139"/>
      <c r="F2" s="151"/>
      <c r="G2" s="152" t="str">
        <f>VLOOKUP(A2,'WMS Attendance'!B:G,6, FALSE)</f>
        <v>IN</v>
      </c>
      <c r="H2" s="153" t="str">
        <f>IF(ISBLANK(VLOOKUP(A2, 'WMS Attendance'!B:G, 5, FALSE)), "", VLOOKUP(A2, 'WMS Attendance'!B:G, 5, FALSE))</f>
        <v/>
      </c>
      <c r="I2" s="154" t="s">
        <v>1188</v>
      </c>
      <c r="J2" s="138"/>
      <c r="K2" s="138"/>
      <c r="L2" s="138"/>
      <c r="M2" s="138"/>
      <c r="N2" s="138"/>
    </row>
    <row r="3" spans="1:14" ht="21" x14ac:dyDescent="0.35">
      <c r="A3" s="166" t="s">
        <v>97</v>
      </c>
      <c r="B3" s="148" t="str">
        <f>VLOOKUP(A3, 'WMS Attendance'!B:G, 2, FALSE)</f>
        <v>30LS035K08</v>
      </c>
      <c r="C3" s="149">
        <v>9</v>
      </c>
      <c r="D3" s="150" t="s">
        <v>1186</v>
      </c>
      <c r="E3" s="139"/>
      <c r="F3" s="151"/>
      <c r="G3" s="152" t="str">
        <f>VLOOKUP(A3,'WMS Attendance'!B:G,6, FALSE)</f>
        <v>IN</v>
      </c>
      <c r="H3" s="153" t="str">
        <f>IF(ISBLANK(VLOOKUP(A3, 'WMS Attendance'!B:G, 5, FALSE)), "", VLOOKUP(A3, 'WMS Attendance'!B:G, 5, FALSE))</f>
        <v/>
      </c>
      <c r="I3" s="154" t="s">
        <v>1187</v>
      </c>
      <c r="J3" s="138"/>
      <c r="K3" s="138"/>
      <c r="L3" s="138"/>
      <c r="M3" s="138"/>
      <c r="N3" s="138"/>
    </row>
    <row r="4" spans="1:14" ht="21" x14ac:dyDescent="0.35">
      <c r="A4" s="147" t="s">
        <v>53</v>
      </c>
      <c r="B4" s="148" t="str">
        <f>VLOOKUP(A4, 'WMS Attendance'!B:G, 2, FALSE)</f>
        <v>30LS035K0T</v>
      </c>
      <c r="C4" s="156">
        <v>9</v>
      </c>
      <c r="D4" s="150" t="s">
        <v>1186</v>
      </c>
      <c r="E4" s="139"/>
      <c r="F4" s="151"/>
      <c r="G4" s="152" t="str">
        <f>VLOOKUP(A4,'WMS Attendance'!B:G,6, FALSE)</f>
        <v>IN</v>
      </c>
      <c r="H4" s="153" t="str">
        <f>IF(ISBLANK(VLOOKUP(A4, 'WMS Attendance'!B:G, 5, FALSE)), "", VLOOKUP(A4, 'WMS Attendance'!B:G, 5, FALSE))</f>
        <v/>
      </c>
      <c r="I4" s="154" t="s">
        <v>1187</v>
      </c>
      <c r="J4" s="138"/>
      <c r="K4" s="138"/>
      <c r="L4" s="138"/>
      <c r="M4" s="138"/>
      <c r="N4" s="138"/>
    </row>
    <row r="5" spans="1:14" ht="21" x14ac:dyDescent="0.35">
      <c r="A5" s="166" t="s">
        <v>44</v>
      </c>
      <c r="B5" s="148" t="str">
        <f>VLOOKUP(A5, 'WMS Attendance'!B:G, 2, FALSE)</f>
        <v>30LS03AE0C</v>
      </c>
      <c r="C5" s="157">
        <v>9</v>
      </c>
      <c r="D5" s="150" t="s">
        <v>1186</v>
      </c>
      <c r="E5" s="139"/>
      <c r="F5" s="151"/>
      <c r="G5" s="152" t="str">
        <f>VLOOKUP(A5,'WMS Attendance'!B:G,6, FALSE)</f>
        <v>IN</v>
      </c>
      <c r="H5" s="153" t="str">
        <f>IF(ISBLANK(VLOOKUP(A5, 'WMS Attendance'!B:G, 5, FALSE)), "", VLOOKUP(A5, 'WMS Attendance'!B:G, 5, FALSE))</f>
        <v>In special project no CIOs MR</v>
      </c>
      <c r="I5" s="154" t="s">
        <v>1189</v>
      </c>
      <c r="J5" s="138"/>
      <c r="K5" s="138"/>
      <c r="L5" s="138"/>
      <c r="M5" s="138"/>
      <c r="N5" s="138"/>
    </row>
    <row r="6" spans="1:14" ht="21" x14ac:dyDescent="0.35">
      <c r="A6" s="147" t="s">
        <v>35</v>
      </c>
      <c r="B6" s="148" t="str">
        <f>VLOOKUP(A6, 'WMS Attendance'!B:G, 2, FALSE)</f>
        <v>30LS03YL03</v>
      </c>
      <c r="C6" s="156">
        <v>8</v>
      </c>
      <c r="D6" s="150" t="s">
        <v>1186</v>
      </c>
      <c r="E6" s="139"/>
      <c r="F6" s="151"/>
      <c r="G6" s="152" t="str">
        <f>VLOOKUP(A6,'WMS Attendance'!B:G,6, FALSE)</f>
        <v>IN</v>
      </c>
      <c r="H6" s="153" t="str">
        <f>IF(ISBLANK(VLOOKUP(A6, 'WMS Attendance'!B:G, 5, FALSE)), "", VLOOKUP(A6, 'WMS Attendance'!B:G, 5, FALSE))</f>
        <v/>
      </c>
      <c r="I6" s="154" t="s">
        <v>1188</v>
      </c>
      <c r="J6" s="138"/>
      <c r="K6" s="138"/>
      <c r="L6" s="138"/>
      <c r="M6" s="138"/>
      <c r="N6" s="138"/>
    </row>
    <row r="7" spans="1:14" ht="21" x14ac:dyDescent="0.35">
      <c r="A7" s="166" t="s">
        <v>73</v>
      </c>
      <c r="B7" s="148" t="str">
        <f>VLOOKUP(A7, 'WMS Attendance'!B:G, 2, FALSE)</f>
        <v>30ES032T0C</v>
      </c>
      <c r="C7" s="157">
        <v>8</v>
      </c>
      <c r="D7" s="159" t="s">
        <v>1192</v>
      </c>
      <c r="E7" s="139"/>
      <c r="F7" s="151"/>
      <c r="G7" s="152" t="str">
        <f>VLOOKUP(A7,'WMS Attendance'!B:G,6, FALSE)</f>
        <v>IN</v>
      </c>
      <c r="H7" s="153" t="str">
        <f>IF(ISBLANK(VLOOKUP(A7, 'WMS Attendance'!B:G, 5, FALSE)), "", VLOOKUP(A7, 'WMS Attendance'!B:G, 5, FALSE))</f>
        <v/>
      </c>
      <c r="I7" s="154" t="s">
        <v>1189</v>
      </c>
      <c r="J7" s="138"/>
      <c r="K7" s="138"/>
      <c r="L7" s="138"/>
      <c r="M7" s="138"/>
      <c r="N7" s="138"/>
    </row>
    <row r="8" spans="1:14" ht="21" x14ac:dyDescent="0.35">
      <c r="A8" s="166" t="s">
        <v>89</v>
      </c>
      <c r="B8" s="148" t="str">
        <f>VLOOKUP(A8, 'WMS Attendance'!B:G, 2, FALSE)</f>
        <v>30ES032W03</v>
      </c>
      <c r="C8" s="156">
        <v>8</v>
      </c>
      <c r="D8" s="159" t="s">
        <v>1192</v>
      </c>
      <c r="E8" s="139"/>
      <c r="F8" s="151"/>
      <c r="G8" s="152" t="str">
        <f>VLOOKUP(A8,'WMS Attendance'!B:G,6, FALSE)</f>
        <v>IN</v>
      </c>
      <c r="H8" s="153" t="str">
        <f>IF(ISBLANK(VLOOKUP(A8, 'WMS Attendance'!B:G, 5, FALSE)), "", VLOOKUP(A8, 'WMS Attendance'!B:G, 5, FALSE))</f>
        <v/>
      </c>
      <c r="I8" s="154" t="s">
        <v>1187</v>
      </c>
      <c r="J8" s="155"/>
      <c r="K8" s="155"/>
      <c r="L8" s="155"/>
      <c r="M8" s="155"/>
      <c r="N8" s="138"/>
    </row>
    <row r="9" spans="1:14" ht="21" x14ac:dyDescent="0.35">
      <c r="A9" s="166" t="s">
        <v>95</v>
      </c>
      <c r="B9" s="148" t="str">
        <f>VLOOKUP(A9, 'WMS Attendance'!B:G, 2, FALSE)</f>
        <v>30LS035K09</v>
      </c>
      <c r="C9" s="160">
        <v>9</v>
      </c>
      <c r="D9" s="159" t="s">
        <v>1192</v>
      </c>
      <c r="E9" s="139"/>
      <c r="F9" s="151"/>
      <c r="G9" s="152" t="str">
        <f>VLOOKUP(A9,'WMS Attendance'!B:G,6, FALSE)</f>
        <v>IN</v>
      </c>
      <c r="H9" s="153" t="str">
        <f>IF(ISBLANK(VLOOKUP(A9, 'WMS Attendance'!B:G, 5, FALSE)), "", VLOOKUP(A9, 'WMS Attendance'!B:G, 5, FALSE))</f>
        <v/>
      </c>
      <c r="I9" s="154" t="s">
        <v>1187</v>
      </c>
      <c r="J9" s="138"/>
      <c r="K9" s="138"/>
      <c r="L9" s="138"/>
      <c r="M9" s="138"/>
      <c r="N9" s="138"/>
    </row>
    <row r="10" spans="1:14" ht="21" x14ac:dyDescent="0.35">
      <c r="A10" s="166" t="s">
        <v>82</v>
      </c>
      <c r="B10" s="148" t="str">
        <f>VLOOKUP(A10, 'WMS Attendance'!B:G, 2, FALSE)</f>
        <v>30LS03AE07</v>
      </c>
      <c r="C10" s="157">
        <v>10</v>
      </c>
      <c r="D10" s="159" t="s">
        <v>1192</v>
      </c>
      <c r="E10" s="139"/>
      <c r="F10" s="151"/>
      <c r="G10" s="152" t="str">
        <f>VLOOKUP(A10,'WMS Attendance'!B:G,6, FALSE)</f>
        <v>IN</v>
      </c>
      <c r="H10" s="153" t="str">
        <f>IF(ISBLANK(VLOOKUP(A10, 'WMS Attendance'!B:G, 5, FALSE)), "", VLOOKUP(A10, 'WMS Attendance'!B:G, 5, FALSE))</f>
        <v/>
      </c>
      <c r="I10" s="154" t="s">
        <v>1189</v>
      </c>
      <c r="J10" s="138"/>
      <c r="K10" s="138"/>
      <c r="L10" s="138"/>
      <c r="M10" s="138"/>
      <c r="N10" s="138"/>
    </row>
    <row r="11" spans="1:14" ht="21" x14ac:dyDescent="0.35">
      <c r="A11" s="147" t="s">
        <v>80</v>
      </c>
      <c r="B11" s="148" t="str">
        <f>VLOOKUP(A11, 'WMS Attendance'!B:G, 2, FALSE)</f>
        <v>30LS03V805</v>
      </c>
      <c r="C11" s="156">
        <v>10</v>
      </c>
      <c r="D11" s="159" t="s">
        <v>1192</v>
      </c>
      <c r="E11" s="139"/>
      <c r="F11" s="151"/>
      <c r="G11" s="152" t="str">
        <f>VLOOKUP(A11,'WMS Attendance'!B:G,6, FALSE)</f>
        <v>IN</v>
      </c>
      <c r="H11" s="153" t="str">
        <f>IF(ISBLANK(VLOOKUP(A11, 'WMS Attendance'!B:G, 5, FALSE)), "", VLOOKUP(A11, 'WMS Attendance'!B:G, 5, FALSE))</f>
        <v/>
      </c>
      <c r="I11" s="154" t="s">
        <v>1188</v>
      </c>
      <c r="J11" s="138"/>
      <c r="K11" s="138"/>
      <c r="L11" s="138"/>
      <c r="M11" s="138"/>
      <c r="N11" s="138"/>
    </row>
    <row r="12" spans="1:14" ht="21" x14ac:dyDescent="0.25">
      <c r="A12" s="161"/>
      <c r="B12" s="161" t="s">
        <v>1203</v>
      </c>
      <c r="C12" s="162" t="s">
        <v>1193</v>
      </c>
      <c r="D12" s="161"/>
      <c r="E12" s="170"/>
      <c r="F12" s="161"/>
      <c r="G12" s="163" t="s">
        <v>1194</v>
      </c>
      <c r="H12" s="170"/>
      <c r="I12" s="164"/>
      <c r="J12" s="165"/>
      <c r="K12" s="165"/>
      <c r="L12" s="165"/>
      <c r="M12" s="165"/>
      <c r="N12" s="165"/>
    </row>
    <row r="13" spans="1:14" ht="21" x14ac:dyDescent="0.35">
      <c r="A13" s="166" t="s">
        <v>123</v>
      </c>
      <c r="B13" s="148" t="str">
        <f>VLOOKUP(A13, 'WMS Attendance'!B:G, 2, FALSE)</f>
        <v>30LS03G406</v>
      </c>
      <c r="C13" s="156"/>
      <c r="D13" s="150" t="s">
        <v>1186</v>
      </c>
      <c r="E13" s="139"/>
      <c r="F13" s="158">
        <v>0.20833333333333334</v>
      </c>
      <c r="G13" s="152" t="str">
        <f>VLOOKUP(A13,'WMS Attendance'!B:G,6, FALSE)</f>
        <v>IN - Off Board</v>
      </c>
      <c r="H13" s="153" t="str">
        <f>IF(ISBLANK(VLOOKUP(A13, 'WMS Attendance'!B:G, 5, FALSE)), "", VLOOKUP(A13, 'WMS Attendance'!B:G, 5, FALSE))</f>
        <v>No CIOs</v>
      </c>
      <c r="I13" s="154" t="s">
        <v>1187</v>
      </c>
      <c r="J13" s="138"/>
      <c r="K13" s="138"/>
      <c r="L13" s="138"/>
      <c r="M13" s="138"/>
      <c r="N13" s="138"/>
    </row>
    <row r="14" spans="1:14" ht="21" x14ac:dyDescent="0.35">
      <c r="A14" s="166" t="s">
        <v>126</v>
      </c>
      <c r="B14" s="148" t="str">
        <f>VLOOKUP(A14, 'WMS Attendance'!B:G, 2, FALSE)</f>
        <v>30ES032W0I</v>
      </c>
      <c r="C14" s="160"/>
      <c r="D14" s="150" t="s">
        <v>1195</v>
      </c>
      <c r="E14" s="139"/>
      <c r="F14" s="158">
        <v>0.20833333333333334</v>
      </c>
      <c r="G14" s="152" t="str">
        <f>VLOOKUP(A14,'WMS Attendance'!B:G,6, FALSE)</f>
        <v>IN - Off Board</v>
      </c>
      <c r="H14" s="153" t="str">
        <f>IF(ISBLANK(VLOOKUP(A14, 'WMS Attendance'!B:G, 5, FALSE)), "", VLOOKUP(A14, 'WMS Attendance'!B:G, 5, FALSE))</f>
        <v>CST asistance---NO CIO--PCN</v>
      </c>
      <c r="I14" s="154" t="s">
        <v>1196</v>
      </c>
      <c r="J14" s="138"/>
      <c r="K14" s="138"/>
      <c r="L14" s="138"/>
      <c r="M14" s="138"/>
      <c r="N14" s="138"/>
    </row>
    <row r="15" spans="1:14" ht="21" x14ac:dyDescent="0.35">
      <c r="A15" s="147" t="s">
        <v>127</v>
      </c>
      <c r="B15" s="148" t="str">
        <f>VLOOKUP(A15, 'WMS Attendance'!B:G, 2, FALSE)</f>
        <v>30LS03V80A</v>
      </c>
      <c r="C15" s="157"/>
      <c r="D15" s="159" t="s">
        <v>1192</v>
      </c>
      <c r="E15" s="139"/>
      <c r="F15" s="151"/>
      <c r="G15" s="152" t="str">
        <f>VLOOKUP(A15,'WMS Attendance'!B:G,6, FALSE)</f>
        <v>IN - Off Board</v>
      </c>
      <c r="H15" s="153" t="str">
        <f>IF(ISBLANK(VLOOKUP(A15, 'WMS Attendance'!B:G, 5, FALSE)), "", VLOOKUP(A15, 'WMS Attendance'!B:G, 5, FALSE))</f>
        <v>Assisting CST - TR</v>
      </c>
      <c r="I15" s="167" t="s">
        <v>1189</v>
      </c>
      <c r="J15" s="138"/>
      <c r="K15" s="138"/>
      <c r="L15" s="138"/>
      <c r="M15" s="138"/>
      <c r="N15" s="138"/>
    </row>
    <row r="16" spans="1:14" ht="21" x14ac:dyDescent="0.35">
      <c r="A16" s="147" t="s">
        <v>152</v>
      </c>
      <c r="B16" s="148" t="str">
        <f>VLOOKUP(A16, 'WMS Attendance'!B:G, 2, FALSE)</f>
        <v>30LS03YL0C</v>
      </c>
      <c r="C16" s="149"/>
      <c r="D16" s="150" t="s">
        <v>1186</v>
      </c>
      <c r="E16" s="139"/>
      <c r="F16" s="158">
        <v>0.20833333333333334</v>
      </c>
      <c r="G16" s="152" t="str">
        <f>VLOOKUP(A16,'WMS Attendance'!B:G,6, FALSE)</f>
        <v>OUT</v>
      </c>
      <c r="H16" s="153" t="str">
        <f>IF(ISBLANK(VLOOKUP(A16, 'WMS Attendance'!B:G, 5, FALSE)), "", VLOOKUP(A16, 'WMS Attendance'!B:G, 5, FALSE))</f>
        <v>out eg</v>
      </c>
      <c r="I16" s="167" t="s">
        <v>1188</v>
      </c>
      <c r="J16" s="138"/>
      <c r="K16" s="138"/>
      <c r="L16" s="138"/>
      <c r="M16" s="138"/>
      <c r="N16" s="138"/>
    </row>
    <row r="17" spans="1:14" ht="21" x14ac:dyDescent="0.35">
      <c r="A17" s="166" t="s">
        <v>160</v>
      </c>
      <c r="B17" s="148" t="str">
        <f>VLOOKUP(A17, 'WMS Attendance'!B:G, 2, FALSE)</f>
        <v>30ES033C04</v>
      </c>
      <c r="C17" s="149"/>
      <c r="D17" s="159" t="s">
        <v>1192</v>
      </c>
      <c r="E17" s="139"/>
      <c r="F17" s="151"/>
      <c r="G17" s="152" t="str">
        <f>VLOOKUP(A17,'WMS Attendance'!B:G,6, FALSE)</f>
        <v>OUT</v>
      </c>
      <c r="H17" s="153" t="str">
        <f>IF(ISBLANK(VLOOKUP(A17, 'WMS Attendance'!B:G, 5, FALSE)), "", VLOOKUP(A17, 'WMS Attendance'!B:G, 5, FALSE))</f>
        <v>out JT</v>
      </c>
      <c r="I17" s="154" t="s">
        <v>1188</v>
      </c>
      <c r="J17" s="138"/>
      <c r="K17" s="138"/>
      <c r="L17" s="138"/>
      <c r="M17" s="138"/>
      <c r="N17" s="138"/>
    </row>
    <row r="18" spans="1:14" ht="21" x14ac:dyDescent="0.35">
      <c r="A18" s="166" t="s">
        <v>161</v>
      </c>
      <c r="B18" s="148" t="str">
        <f>VLOOKUP(A18, 'WMS Attendance'!B:G, 2, FALSE)</f>
        <v>30ES033C07</v>
      </c>
      <c r="C18" s="156"/>
      <c r="D18" s="159" t="s">
        <v>1192</v>
      </c>
      <c r="E18" s="139"/>
      <c r="F18" s="158">
        <v>0.20833333333333334</v>
      </c>
      <c r="G18" s="152" t="str">
        <f>VLOOKUP(A18,'WMS Attendance'!B:G,6, FALSE)</f>
        <v>OUT</v>
      </c>
      <c r="H18" s="153" t="str">
        <f>IF(ISBLANK(VLOOKUP(A18, 'WMS Attendance'!B:G, 5, FALSE)), "", VLOOKUP(A18, 'WMS Attendance'!B:G, 5, FALSE))</f>
        <v>out JT</v>
      </c>
      <c r="I18" s="168" t="s">
        <v>1187</v>
      </c>
      <c r="J18" s="138"/>
      <c r="K18" s="138"/>
      <c r="L18" s="138"/>
      <c r="M18" s="138"/>
      <c r="N18" s="138"/>
    </row>
    <row r="19" spans="1:14" ht="21" x14ac:dyDescent="0.35">
      <c r="A19" s="147" t="s">
        <v>180</v>
      </c>
      <c r="B19" s="148" t="str">
        <f>VLOOKUP(A19, 'WMS Attendance'!B:G, 2, FALSE)</f>
        <v>30LS037S06</v>
      </c>
      <c r="C19" s="160"/>
      <c r="D19" s="150" t="s">
        <v>1186</v>
      </c>
      <c r="E19" s="139"/>
      <c r="F19" s="151"/>
      <c r="G19" s="152" t="str">
        <f>VLOOKUP(A19,'WMS Attendance'!B:G,6, FALSE)</f>
        <v>OUT - Flex</v>
      </c>
      <c r="H19" s="153" t="str">
        <f>IF(ISBLANK(VLOOKUP(A19, 'WMS Attendance'!B:G, 5, FALSE)), "", VLOOKUP(A19, 'WMS Attendance'!B:G, 5, FALSE))</f>
        <v/>
      </c>
      <c r="I19" s="168" t="s">
        <v>1190</v>
      </c>
      <c r="J19" s="138" t="s">
        <v>1191</v>
      </c>
      <c r="K19" s="138"/>
      <c r="L19" s="138"/>
      <c r="M19" s="138"/>
      <c r="N19" s="138"/>
    </row>
    <row r="20" spans="1:14" ht="21" x14ac:dyDescent="0.35">
      <c r="A20" s="147" t="s">
        <v>187</v>
      </c>
      <c r="B20" s="148" t="str">
        <f>VLOOKUP(A20, 'WMS Attendance'!B:G, 2, FALSE)</f>
        <v>30LS03V809</v>
      </c>
      <c r="C20" s="156"/>
      <c r="D20" s="159" t="s">
        <v>1192</v>
      </c>
      <c r="E20" s="139"/>
      <c r="F20" s="158">
        <v>0.20833333333333334</v>
      </c>
      <c r="G20" s="152" t="str">
        <f>VLOOKUP(A20,'WMS Attendance'!B:G,6, FALSE)</f>
        <v>OUT - Flex</v>
      </c>
      <c r="H20" s="153" t="str">
        <f>IF(ISBLANK(VLOOKUP(A20, 'WMS Attendance'!B:G, 5, FALSE)), "", VLOOKUP(A20, 'WMS Attendance'!B:G, 5, FALSE))</f>
        <v/>
      </c>
      <c r="I20" s="154" t="s">
        <v>1190</v>
      </c>
      <c r="J20" s="138"/>
      <c r="K20" s="138"/>
      <c r="L20" s="138"/>
      <c r="M20" s="138"/>
      <c r="N20" s="138"/>
    </row>
    <row r="21" spans="1:14" ht="21" x14ac:dyDescent="0.35">
      <c r="A21" s="147" t="s">
        <v>1197</v>
      </c>
      <c r="B21" s="148" t="str">
        <f>VLOOKUP(A21, 'WMS Attendance'!B:G, 2, FALSE)</f>
        <v>30LS035Y01</v>
      </c>
      <c r="C21" s="160"/>
      <c r="D21" s="150" t="s">
        <v>1186</v>
      </c>
      <c r="E21" s="139"/>
      <c r="F21" s="151"/>
      <c r="G21" s="152" t="str">
        <f>VLOOKUP(A21,'WMS Attendance'!B:G,6, FALSE)</f>
        <v>OUT - Pre Approved</v>
      </c>
      <c r="H21" s="153" t="str">
        <f>IF(ISBLANK(VLOOKUP(A21, 'WMS Attendance'!B:G, 5, FALSE)), "", VLOOKUP(A21, 'WMS Attendance'!B:G, 5, FALSE))</f>
        <v>Pre-approved 12/26-1/16/2024</v>
      </c>
      <c r="I21" s="169" t="s">
        <v>1187</v>
      </c>
      <c r="J21" s="138"/>
      <c r="K21" s="155"/>
      <c r="L21" s="138"/>
      <c r="M21" s="138"/>
      <c r="N21" s="138"/>
    </row>
    <row r="22" spans="1:14" ht="21" x14ac:dyDescent="0.35">
      <c r="A22" s="147" t="s">
        <v>191</v>
      </c>
      <c r="B22" s="148" t="str">
        <f>VLOOKUP(A22, 'WMS Attendance'!B:G, 2, FALSE)</f>
        <v>30ES032X04</v>
      </c>
      <c r="C22" s="160"/>
      <c r="D22" s="150" t="s">
        <v>1186</v>
      </c>
      <c r="E22" s="139"/>
      <c r="F22" s="151"/>
      <c r="G22" s="152" t="str">
        <f>VLOOKUP(A22,'WMS Attendance'!B:G,6, FALSE)</f>
        <v>OUT - Vacation</v>
      </c>
      <c r="H22" s="153" t="str">
        <f>IF(ISBLANK(VLOOKUP(A22, 'WMS Attendance'!B:G, 5, FALSE)), "", VLOOKUP(A22, 'WMS Attendance'!B:G, 5, FALSE))</f>
        <v>Pre-approved Vac 11/13/2023-11/22/2023 (jbh)</v>
      </c>
      <c r="I22" s="169" t="s">
        <v>1187</v>
      </c>
      <c r="J22" s="138"/>
      <c r="K22" s="138"/>
      <c r="L22" s="138"/>
      <c r="M22" s="138"/>
      <c r="N22" s="155"/>
    </row>
    <row r="23" spans="1:14" ht="21" x14ac:dyDescent="0.35">
      <c r="A23" s="147" t="s">
        <v>192</v>
      </c>
      <c r="B23" s="148" t="str">
        <f>VLOOKUP(A23, 'WMS Attendance'!B:G, 2, FALSE)</f>
        <v>30LS038Y08</v>
      </c>
      <c r="C23" s="160"/>
      <c r="D23" s="150" t="s">
        <v>1186</v>
      </c>
      <c r="E23" s="139"/>
      <c r="F23" s="151"/>
      <c r="G23" s="152" t="str">
        <f>VLOOKUP(A23,'WMS Attendance'!B:G,6, FALSE)</f>
        <v>OUT - Vacation</v>
      </c>
      <c r="H23" s="153" t="str">
        <f>IF(ISBLANK(VLOOKUP(A23, 'WMS Attendance'!B:G, 5, FALSE)), "", VLOOKUP(A23, 'WMS Attendance'!B:G, 5, FALSE))</f>
        <v>Pre-approved Vac 11/20/2023-11/21/2023 (jbh)</v>
      </c>
      <c r="I23" s="169" t="s">
        <v>1189</v>
      </c>
      <c r="J23" s="138"/>
      <c r="K23" s="138"/>
      <c r="L23" s="138"/>
      <c r="M23" s="138"/>
      <c r="N23" s="138"/>
    </row>
  </sheetData>
  <sortState xmlns:xlrd2="http://schemas.microsoft.com/office/spreadsheetml/2017/richdata2" ref="A2:N23">
    <sortCondition descending="1" sortBy="cellColor" ref="G2:G23" dxfId="43"/>
    <sortCondition ref="G2:G23"/>
    <sortCondition ref="D2:D23"/>
    <sortCondition ref="B2:B23"/>
  </sortState>
  <conditionalFormatting sqref="A1:XFD1048576">
    <cfRule type="containsText" dxfId="1" priority="1" operator="containsText" text="OUT">
      <formula>NOT(ISERROR(SEARCH("OUT",A1)))</formula>
    </cfRule>
  </conditionalFormatting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39997558519241921"/>
  </sheetPr>
  <dimension ref="A1:K476"/>
  <sheetViews>
    <sheetView workbookViewId="0"/>
  </sheetViews>
  <sheetFormatPr defaultColWidth="9.140625" defaultRowHeight="18.75" x14ac:dyDescent="0.3"/>
  <cols>
    <col min="1" max="1" width="7.42578125" style="13" customWidth="1"/>
    <col min="2" max="2" width="26.42578125" style="13" customWidth="1"/>
    <col min="3" max="3" width="18.5703125" style="13" customWidth="1"/>
    <col min="4" max="4" width="12.7109375" style="13" customWidth="1"/>
    <col min="5" max="5" width="13.140625" style="13" bestFit="1" customWidth="1"/>
    <col min="6" max="6" width="37.28515625" style="13" customWidth="1"/>
    <col min="7" max="7" width="26.140625" style="13" bestFit="1" customWidth="1"/>
    <col min="8" max="8" width="8.42578125" style="13" bestFit="1" customWidth="1"/>
    <col min="9" max="10" width="9.140625" style="13"/>
    <col min="11" max="11" width="12" style="13" bestFit="1" customWidth="1"/>
    <col min="12" max="12" width="22.85546875" style="13" bestFit="1" customWidth="1"/>
    <col min="13" max="16384" width="9.140625" style="13"/>
  </cols>
  <sheetData>
    <row r="1" spans="1:11" ht="18.75" customHeight="1" x14ac:dyDescent="0.3">
      <c r="A1" s="35" t="s">
        <v>196</v>
      </c>
      <c r="B1" s="35" t="s">
        <v>197</v>
      </c>
      <c r="C1" s="35" t="s">
        <v>198</v>
      </c>
      <c r="D1" s="35" t="s">
        <v>199</v>
      </c>
      <c r="E1" s="35" t="s">
        <v>200</v>
      </c>
      <c r="F1" s="35" t="s">
        <v>201</v>
      </c>
      <c r="G1" s="35" t="s">
        <v>202</v>
      </c>
      <c r="H1" s="35" t="s">
        <v>203</v>
      </c>
      <c r="I1" s="36"/>
      <c r="J1" s="37"/>
      <c r="K1" s="38"/>
    </row>
    <row r="2" spans="1:11" x14ac:dyDescent="0.3">
      <c r="A2" s="28"/>
      <c r="B2" s="29" t="s">
        <v>204</v>
      </c>
      <c r="C2" s="30" t="s">
        <v>205</v>
      </c>
      <c r="D2" s="30" t="s">
        <v>29</v>
      </c>
      <c r="E2" s="30" t="s">
        <v>206</v>
      </c>
      <c r="F2" s="30"/>
      <c r="G2" s="30" t="s">
        <v>207</v>
      </c>
      <c r="H2" s="31" t="s">
        <v>208</v>
      </c>
      <c r="I2" s="30"/>
      <c r="J2" s="30"/>
      <c r="K2" s="32"/>
    </row>
    <row r="3" spans="1:11" x14ac:dyDescent="0.3">
      <c r="A3" s="28"/>
      <c r="B3" s="29" t="s">
        <v>80</v>
      </c>
      <c r="C3" s="30" t="s">
        <v>209</v>
      </c>
      <c r="D3" s="30" t="s">
        <v>29</v>
      </c>
      <c r="E3" s="30" t="s">
        <v>206</v>
      </c>
      <c r="F3" s="30"/>
      <c r="G3" s="30" t="s">
        <v>207</v>
      </c>
      <c r="H3" s="31" t="s">
        <v>208</v>
      </c>
      <c r="I3" s="30"/>
      <c r="J3" s="30"/>
      <c r="K3" s="32"/>
    </row>
    <row r="4" spans="1:11" x14ac:dyDescent="0.3">
      <c r="A4" s="28"/>
      <c r="B4" s="29" t="s">
        <v>210</v>
      </c>
      <c r="C4" s="30" t="s">
        <v>211</v>
      </c>
      <c r="D4" s="30" t="s">
        <v>29</v>
      </c>
      <c r="E4" s="30" t="s">
        <v>212</v>
      </c>
      <c r="F4" s="30" t="s">
        <v>213</v>
      </c>
      <c r="G4" s="30" t="s">
        <v>214</v>
      </c>
      <c r="H4" s="33" t="s">
        <v>215</v>
      </c>
      <c r="I4" s="30"/>
      <c r="J4" s="30"/>
      <c r="K4" s="32"/>
    </row>
    <row r="5" spans="1:11" x14ac:dyDescent="0.3">
      <c r="A5" s="28"/>
      <c r="B5" s="29" t="s">
        <v>216</v>
      </c>
      <c r="C5" s="30" t="s">
        <v>217</v>
      </c>
      <c r="D5" s="30" t="s">
        <v>218</v>
      </c>
      <c r="E5" s="30" t="s">
        <v>212</v>
      </c>
      <c r="F5" s="30"/>
      <c r="G5" s="30" t="s">
        <v>207</v>
      </c>
      <c r="H5" s="31" t="s">
        <v>208</v>
      </c>
      <c r="I5" s="30"/>
      <c r="J5" s="30"/>
      <c r="K5" s="32"/>
    </row>
    <row r="6" spans="1:11" x14ac:dyDescent="0.3">
      <c r="A6" s="28"/>
      <c r="B6" s="29" t="s">
        <v>219</v>
      </c>
      <c r="C6" s="30" t="s">
        <v>220</v>
      </c>
      <c r="D6" s="30" t="s">
        <v>29</v>
      </c>
      <c r="E6" s="30" t="s">
        <v>206</v>
      </c>
      <c r="F6" s="30" t="s">
        <v>221</v>
      </c>
      <c r="G6" s="30" t="s">
        <v>159</v>
      </c>
      <c r="H6" s="33" t="s">
        <v>215</v>
      </c>
      <c r="I6" s="30"/>
      <c r="J6" s="30"/>
      <c r="K6" s="32"/>
    </row>
    <row r="7" spans="1:11" x14ac:dyDescent="0.3">
      <c r="A7" s="28"/>
      <c r="B7" s="29" t="s">
        <v>222</v>
      </c>
      <c r="C7" s="30" t="s">
        <v>223</v>
      </c>
      <c r="D7" s="30" t="s">
        <v>125</v>
      </c>
      <c r="E7" s="30" t="s">
        <v>224</v>
      </c>
      <c r="F7" s="30"/>
      <c r="G7" s="30" t="s">
        <v>207</v>
      </c>
      <c r="H7" s="31" t="s">
        <v>208</v>
      </c>
      <c r="I7" s="30"/>
      <c r="J7" s="30"/>
      <c r="K7" s="32"/>
    </row>
    <row r="8" spans="1:11" x14ac:dyDescent="0.3">
      <c r="A8" s="28"/>
      <c r="B8" s="29" t="s">
        <v>225</v>
      </c>
      <c r="C8" s="30" t="s">
        <v>226</v>
      </c>
      <c r="D8" s="30" t="s">
        <v>125</v>
      </c>
      <c r="E8" s="30" t="s">
        <v>206</v>
      </c>
      <c r="F8" s="30"/>
      <c r="G8" s="30" t="s">
        <v>227</v>
      </c>
      <c r="H8" s="33" t="s">
        <v>215</v>
      </c>
      <c r="I8" s="30"/>
      <c r="J8" s="30"/>
      <c r="K8" s="32"/>
    </row>
    <row r="9" spans="1:11" x14ac:dyDescent="0.3">
      <c r="A9" s="28"/>
      <c r="B9" s="29" t="s">
        <v>228</v>
      </c>
      <c r="C9" s="30" t="s">
        <v>229</v>
      </c>
      <c r="D9" s="30" t="s">
        <v>125</v>
      </c>
      <c r="E9" s="30" t="s">
        <v>206</v>
      </c>
      <c r="F9" s="30"/>
      <c r="G9" s="30" t="s">
        <v>227</v>
      </c>
      <c r="H9" s="33" t="s">
        <v>215</v>
      </c>
      <c r="I9" s="30"/>
      <c r="J9" s="30"/>
      <c r="K9" s="32"/>
    </row>
    <row r="10" spans="1:11" x14ac:dyDescent="0.3">
      <c r="A10" s="28"/>
      <c r="B10" s="29" t="s">
        <v>230</v>
      </c>
      <c r="C10" s="30" t="s">
        <v>231</v>
      </c>
      <c r="D10" s="30" t="s">
        <v>29</v>
      </c>
      <c r="E10" s="30" t="s">
        <v>206</v>
      </c>
      <c r="F10" s="30" t="s">
        <v>232</v>
      </c>
      <c r="G10" s="30" t="s">
        <v>233</v>
      </c>
      <c r="H10" s="31" t="s">
        <v>208</v>
      </c>
      <c r="I10" s="30"/>
      <c r="J10" s="30"/>
      <c r="K10" s="32"/>
    </row>
    <row r="11" spans="1:11" x14ac:dyDescent="0.3">
      <c r="A11" s="28"/>
      <c r="B11" s="29" t="s">
        <v>234</v>
      </c>
      <c r="C11" s="30" t="s">
        <v>235</v>
      </c>
      <c r="D11" s="30" t="s">
        <v>125</v>
      </c>
      <c r="E11" s="30" t="s">
        <v>224</v>
      </c>
      <c r="F11" s="30"/>
      <c r="G11" s="30" t="s">
        <v>207</v>
      </c>
      <c r="H11" s="31" t="s">
        <v>208</v>
      </c>
      <c r="I11" s="30"/>
      <c r="J11" s="30"/>
      <c r="K11" s="32"/>
    </row>
    <row r="12" spans="1:11" x14ac:dyDescent="0.3">
      <c r="A12" s="28"/>
      <c r="B12" s="29" t="s">
        <v>236</v>
      </c>
      <c r="C12" s="30" t="s">
        <v>237</v>
      </c>
      <c r="D12" s="30" t="s">
        <v>125</v>
      </c>
      <c r="E12" s="30" t="s">
        <v>224</v>
      </c>
      <c r="F12" s="30"/>
      <c r="G12" s="30" t="s">
        <v>207</v>
      </c>
      <c r="H12" s="31" t="s">
        <v>208</v>
      </c>
      <c r="I12" s="30"/>
      <c r="J12" s="30"/>
      <c r="K12" s="32"/>
    </row>
    <row r="13" spans="1:11" x14ac:dyDescent="0.3">
      <c r="A13" s="28"/>
      <c r="B13" s="29" t="s">
        <v>238</v>
      </c>
      <c r="C13" s="30" t="s">
        <v>239</v>
      </c>
      <c r="D13" s="30" t="s">
        <v>125</v>
      </c>
      <c r="E13" s="30" t="s">
        <v>224</v>
      </c>
      <c r="F13" s="30"/>
      <c r="G13" s="30" t="s">
        <v>227</v>
      </c>
      <c r="H13" s="33" t="s">
        <v>215</v>
      </c>
      <c r="I13" s="30"/>
      <c r="J13" s="30"/>
      <c r="K13" s="32"/>
    </row>
    <row r="14" spans="1:11" x14ac:dyDescent="0.3">
      <c r="A14" s="28"/>
      <c r="B14" s="29" t="s">
        <v>240</v>
      </c>
      <c r="C14" s="30" t="s">
        <v>241</v>
      </c>
      <c r="D14" s="30" t="s">
        <v>29</v>
      </c>
      <c r="E14" s="30" t="s">
        <v>212</v>
      </c>
      <c r="F14" s="30" t="s">
        <v>242</v>
      </c>
      <c r="G14" s="30" t="s">
        <v>233</v>
      </c>
      <c r="H14" s="31" t="s">
        <v>208</v>
      </c>
      <c r="I14" s="30"/>
      <c r="J14" s="30"/>
      <c r="K14" s="32"/>
    </row>
    <row r="15" spans="1:11" x14ac:dyDescent="0.3">
      <c r="A15" s="28"/>
      <c r="B15" s="29" t="s">
        <v>243</v>
      </c>
      <c r="C15" s="30" t="s">
        <v>244</v>
      </c>
      <c r="D15" s="30" t="s">
        <v>125</v>
      </c>
      <c r="E15" s="30" t="s">
        <v>224</v>
      </c>
      <c r="F15" s="30"/>
      <c r="G15" s="30" t="s">
        <v>207</v>
      </c>
      <c r="H15" s="31" t="s">
        <v>208</v>
      </c>
      <c r="I15" s="30"/>
      <c r="J15" s="30"/>
      <c r="K15" s="32"/>
    </row>
    <row r="16" spans="1:11" x14ac:dyDescent="0.3">
      <c r="A16" s="28"/>
      <c r="B16" s="29" t="s">
        <v>245</v>
      </c>
      <c r="C16" s="30" t="s">
        <v>246</v>
      </c>
      <c r="D16" s="30" t="s">
        <v>29</v>
      </c>
      <c r="E16" s="30" t="s">
        <v>212</v>
      </c>
      <c r="F16" s="30"/>
      <c r="G16" s="30" t="s">
        <v>207</v>
      </c>
      <c r="H16" s="31" t="s">
        <v>208</v>
      </c>
      <c r="I16" s="30"/>
      <c r="J16" s="30"/>
      <c r="K16" s="32"/>
    </row>
    <row r="17" spans="1:11" x14ac:dyDescent="0.3">
      <c r="A17" s="28"/>
      <c r="B17" s="29" t="s">
        <v>121</v>
      </c>
      <c r="C17" s="30" t="s">
        <v>247</v>
      </c>
      <c r="D17" s="30" t="s">
        <v>29</v>
      </c>
      <c r="E17" s="30" t="s">
        <v>206</v>
      </c>
      <c r="F17" s="30" t="s">
        <v>248</v>
      </c>
      <c r="G17" s="30" t="s">
        <v>233</v>
      </c>
      <c r="H17" s="31" t="s">
        <v>208</v>
      </c>
      <c r="I17" s="30"/>
      <c r="J17" s="30"/>
      <c r="K17" s="32"/>
    </row>
    <row r="18" spans="1:11" x14ac:dyDescent="0.3">
      <c r="A18" s="28"/>
      <c r="B18" s="29" t="s">
        <v>178</v>
      </c>
      <c r="C18" s="30" t="s">
        <v>249</v>
      </c>
      <c r="D18" s="30" t="s">
        <v>250</v>
      </c>
      <c r="E18" s="30" t="s">
        <v>206</v>
      </c>
      <c r="F18" s="30"/>
      <c r="G18" s="30" t="s">
        <v>227</v>
      </c>
      <c r="H18" s="33" t="s">
        <v>215</v>
      </c>
      <c r="I18" s="30"/>
      <c r="J18" s="30"/>
      <c r="K18" s="32"/>
    </row>
    <row r="19" spans="1:11" x14ac:dyDescent="0.3">
      <c r="A19" s="28"/>
      <c r="B19" s="29" t="s">
        <v>142</v>
      </c>
      <c r="C19" s="30" t="s">
        <v>251</v>
      </c>
      <c r="D19" s="30" t="s">
        <v>29</v>
      </c>
      <c r="E19" s="30" t="s">
        <v>206</v>
      </c>
      <c r="F19" s="30" t="s">
        <v>252</v>
      </c>
      <c r="G19" s="30" t="s">
        <v>253</v>
      </c>
      <c r="H19" s="31" t="s">
        <v>208</v>
      </c>
      <c r="I19" s="30"/>
      <c r="J19" s="30"/>
      <c r="K19" s="32"/>
    </row>
    <row r="20" spans="1:11" x14ac:dyDescent="0.3">
      <c r="A20" s="28"/>
      <c r="B20" s="29" t="s">
        <v>254</v>
      </c>
      <c r="C20" s="30" t="s">
        <v>255</v>
      </c>
      <c r="D20" s="30" t="s">
        <v>125</v>
      </c>
      <c r="E20" s="30" t="s">
        <v>206</v>
      </c>
      <c r="F20" s="30" t="s">
        <v>256</v>
      </c>
      <c r="G20" s="30" t="s">
        <v>214</v>
      </c>
      <c r="H20" s="33" t="s">
        <v>215</v>
      </c>
      <c r="I20" s="30"/>
      <c r="J20" s="30"/>
      <c r="K20" s="32"/>
    </row>
    <row r="21" spans="1:11" x14ac:dyDescent="0.3">
      <c r="A21" s="28"/>
      <c r="B21" s="29" t="s">
        <v>93</v>
      </c>
      <c r="C21" s="30" t="s">
        <v>257</v>
      </c>
      <c r="D21" s="30" t="s">
        <v>29</v>
      </c>
      <c r="E21" s="30" t="s">
        <v>206</v>
      </c>
      <c r="F21" s="30"/>
      <c r="G21" s="30" t="s">
        <v>207</v>
      </c>
      <c r="H21" s="31" t="s">
        <v>208</v>
      </c>
      <c r="I21" s="30"/>
      <c r="J21" s="30"/>
      <c r="K21" s="32"/>
    </row>
    <row r="22" spans="1:11" x14ac:dyDescent="0.3">
      <c r="A22" s="28"/>
      <c r="B22" s="29" t="s">
        <v>258</v>
      </c>
      <c r="C22" s="30" t="s">
        <v>259</v>
      </c>
      <c r="D22" s="30" t="s">
        <v>29</v>
      </c>
      <c r="E22" s="30" t="s">
        <v>212</v>
      </c>
      <c r="F22" s="30"/>
      <c r="G22" s="30" t="s">
        <v>207</v>
      </c>
      <c r="H22" s="31" t="s">
        <v>208</v>
      </c>
      <c r="I22" s="30"/>
      <c r="J22" s="30"/>
      <c r="K22" s="32"/>
    </row>
    <row r="23" spans="1:11" x14ac:dyDescent="0.3">
      <c r="A23" s="28"/>
      <c r="B23" s="29" t="s">
        <v>260</v>
      </c>
      <c r="C23" s="30" t="s">
        <v>261</v>
      </c>
      <c r="D23" s="30" t="s">
        <v>125</v>
      </c>
      <c r="E23" s="30" t="s">
        <v>224</v>
      </c>
      <c r="F23" s="30"/>
      <c r="G23" s="30" t="s">
        <v>207</v>
      </c>
      <c r="H23" s="31" t="s">
        <v>208</v>
      </c>
      <c r="I23" s="30"/>
      <c r="J23" s="30"/>
      <c r="K23" s="32"/>
    </row>
    <row r="24" spans="1:11" x14ac:dyDescent="0.3">
      <c r="A24" s="28"/>
      <c r="B24" s="29" t="s">
        <v>262</v>
      </c>
      <c r="C24" s="30" t="s">
        <v>263</v>
      </c>
      <c r="D24" s="30" t="s">
        <v>29</v>
      </c>
      <c r="E24" s="30" t="s">
        <v>206</v>
      </c>
      <c r="F24" s="30"/>
      <c r="G24" s="30" t="s">
        <v>207</v>
      </c>
      <c r="H24" s="31" t="s">
        <v>208</v>
      </c>
      <c r="I24" s="30"/>
      <c r="J24" s="30"/>
      <c r="K24" s="32"/>
    </row>
    <row r="25" spans="1:11" x14ac:dyDescent="0.3">
      <c r="A25" s="28"/>
      <c r="B25" s="29" t="s">
        <v>264</v>
      </c>
      <c r="C25" s="30" t="s">
        <v>265</v>
      </c>
      <c r="D25" s="30" t="s">
        <v>29</v>
      </c>
      <c r="E25" s="30" t="s">
        <v>212</v>
      </c>
      <c r="F25" s="30" t="s">
        <v>266</v>
      </c>
      <c r="G25" s="30" t="s">
        <v>214</v>
      </c>
      <c r="H25" s="33" t="s">
        <v>215</v>
      </c>
      <c r="I25" s="30"/>
      <c r="J25" s="30"/>
      <c r="K25" s="32"/>
    </row>
    <row r="26" spans="1:11" x14ac:dyDescent="0.3">
      <c r="A26" s="28"/>
      <c r="B26" s="29" t="s">
        <v>190</v>
      </c>
      <c r="C26" s="30" t="s">
        <v>267</v>
      </c>
      <c r="D26" s="30" t="s">
        <v>29</v>
      </c>
      <c r="E26" s="30" t="s">
        <v>206</v>
      </c>
      <c r="F26" s="30" t="s">
        <v>268</v>
      </c>
      <c r="G26" s="30" t="s">
        <v>269</v>
      </c>
      <c r="H26" s="33" t="s">
        <v>215</v>
      </c>
      <c r="I26" s="30"/>
      <c r="J26" s="30"/>
      <c r="K26" s="32"/>
    </row>
    <row r="27" spans="1:11" x14ac:dyDescent="0.3">
      <c r="A27" s="28"/>
      <c r="B27" s="29" t="s">
        <v>191</v>
      </c>
      <c r="C27" s="30" t="s">
        <v>270</v>
      </c>
      <c r="D27" s="30" t="s">
        <v>29</v>
      </c>
      <c r="E27" s="30" t="s">
        <v>206</v>
      </c>
      <c r="F27" s="30" t="s">
        <v>271</v>
      </c>
      <c r="G27" s="30" t="s">
        <v>214</v>
      </c>
      <c r="H27" s="33" t="s">
        <v>215</v>
      </c>
      <c r="I27" s="30"/>
      <c r="J27" s="30"/>
      <c r="K27" s="32"/>
    </row>
    <row r="28" spans="1:11" x14ac:dyDescent="0.3">
      <c r="A28" s="28"/>
      <c r="B28" s="29" t="s">
        <v>272</v>
      </c>
      <c r="C28" s="30" t="s">
        <v>273</v>
      </c>
      <c r="D28" s="30" t="s">
        <v>274</v>
      </c>
      <c r="E28" s="30" t="s">
        <v>212</v>
      </c>
      <c r="F28" s="30" t="s">
        <v>275</v>
      </c>
      <c r="G28" s="30" t="s">
        <v>207</v>
      </c>
      <c r="H28" s="31" t="s">
        <v>208</v>
      </c>
      <c r="I28" s="30"/>
      <c r="J28" s="30"/>
      <c r="K28" s="32"/>
    </row>
    <row r="29" spans="1:11" x14ac:dyDescent="0.3">
      <c r="A29" s="28"/>
      <c r="B29" s="29" t="s">
        <v>66</v>
      </c>
      <c r="C29" s="30" t="s">
        <v>276</v>
      </c>
      <c r="D29" s="30" t="s">
        <v>29</v>
      </c>
      <c r="E29" s="30" t="s">
        <v>206</v>
      </c>
      <c r="F29" s="30" t="s">
        <v>277</v>
      </c>
      <c r="G29" s="30" t="s">
        <v>207</v>
      </c>
      <c r="H29" s="31" t="s">
        <v>208</v>
      </c>
      <c r="I29" s="30"/>
      <c r="J29" s="30"/>
      <c r="K29" s="32"/>
    </row>
    <row r="30" spans="1:11" x14ac:dyDescent="0.3">
      <c r="A30" s="28"/>
      <c r="B30" s="29" t="s">
        <v>278</v>
      </c>
      <c r="C30" s="30" t="s">
        <v>279</v>
      </c>
      <c r="D30" s="30" t="s">
        <v>125</v>
      </c>
      <c r="E30" s="30" t="s">
        <v>224</v>
      </c>
      <c r="F30" s="30"/>
      <c r="G30" s="30" t="s">
        <v>207</v>
      </c>
      <c r="H30" s="31" t="s">
        <v>208</v>
      </c>
      <c r="I30" s="30"/>
      <c r="J30" s="30"/>
      <c r="K30" s="32"/>
    </row>
    <row r="31" spans="1:11" x14ac:dyDescent="0.3">
      <c r="A31" s="28"/>
      <c r="B31" s="29" t="s">
        <v>280</v>
      </c>
      <c r="C31" s="30" t="s">
        <v>281</v>
      </c>
      <c r="D31" s="30" t="s">
        <v>218</v>
      </c>
      <c r="E31" s="30" t="s">
        <v>212</v>
      </c>
      <c r="F31" s="30" t="s">
        <v>282</v>
      </c>
      <c r="G31" s="30" t="s">
        <v>269</v>
      </c>
      <c r="H31" s="33" t="s">
        <v>215</v>
      </c>
      <c r="I31" s="30"/>
      <c r="J31" s="30"/>
      <c r="K31" s="32"/>
    </row>
    <row r="32" spans="1:11" x14ac:dyDescent="0.3">
      <c r="A32" s="28"/>
      <c r="B32" s="29" t="s">
        <v>143</v>
      </c>
      <c r="C32" s="30" t="s">
        <v>283</v>
      </c>
      <c r="D32" s="30" t="s">
        <v>125</v>
      </c>
      <c r="E32" s="30" t="s">
        <v>206</v>
      </c>
      <c r="F32" s="30" t="s">
        <v>284</v>
      </c>
      <c r="G32" s="30" t="s">
        <v>285</v>
      </c>
      <c r="H32" s="31" t="s">
        <v>208</v>
      </c>
      <c r="I32" s="30"/>
      <c r="J32" s="30"/>
      <c r="K32" s="32"/>
    </row>
    <row r="33" spans="1:11" x14ac:dyDescent="0.3">
      <c r="A33" s="28"/>
      <c r="B33" s="29" t="s">
        <v>188</v>
      </c>
      <c r="C33" s="30" t="s">
        <v>286</v>
      </c>
      <c r="D33" s="30" t="s">
        <v>102</v>
      </c>
      <c r="E33" s="30" t="s">
        <v>206</v>
      </c>
      <c r="F33" s="30"/>
      <c r="G33" s="30" t="s">
        <v>227</v>
      </c>
      <c r="H33" s="33" t="s">
        <v>215</v>
      </c>
      <c r="I33" s="30"/>
      <c r="J33" s="30"/>
      <c r="K33" s="32"/>
    </row>
    <row r="34" spans="1:11" x14ac:dyDescent="0.3">
      <c r="A34" s="28"/>
      <c r="B34" s="29" t="s">
        <v>287</v>
      </c>
      <c r="C34" s="30" t="s">
        <v>288</v>
      </c>
      <c r="D34" s="30" t="s">
        <v>289</v>
      </c>
      <c r="E34" s="30" t="s">
        <v>212</v>
      </c>
      <c r="F34" s="30"/>
      <c r="G34" s="30" t="s">
        <v>159</v>
      </c>
      <c r="H34" s="33" t="s">
        <v>215</v>
      </c>
      <c r="I34" s="30"/>
      <c r="J34" s="30"/>
      <c r="K34" s="32"/>
    </row>
    <row r="35" spans="1:11" x14ac:dyDescent="0.3">
      <c r="A35" s="28"/>
      <c r="B35" s="29" t="s">
        <v>290</v>
      </c>
      <c r="C35" s="30" t="s">
        <v>291</v>
      </c>
      <c r="D35" s="30" t="s">
        <v>29</v>
      </c>
      <c r="E35" s="30" t="s">
        <v>212</v>
      </c>
      <c r="F35" s="30"/>
      <c r="G35" s="30" t="s">
        <v>207</v>
      </c>
      <c r="H35" s="31" t="s">
        <v>208</v>
      </c>
      <c r="I35" s="30"/>
      <c r="J35" s="30"/>
      <c r="K35" s="32"/>
    </row>
    <row r="36" spans="1:11" x14ac:dyDescent="0.3">
      <c r="A36" s="28"/>
      <c r="B36" s="29" t="s">
        <v>292</v>
      </c>
      <c r="C36" s="30" t="s">
        <v>293</v>
      </c>
      <c r="D36" s="30" t="s">
        <v>125</v>
      </c>
      <c r="E36" s="30" t="s">
        <v>206</v>
      </c>
      <c r="F36" s="30"/>
      <c r="G36" s="30" t="s">
        <v>207</v>
      </c>
      <c r="H36" s="31" t="s">
        <v>208</v>
      </c>
      <c r="I36" s="30"/>
      <c r="J36" s="30"/>
      <c r="K36" s="32"/>
    </row>
    <row r="37" spans="1:11" x14ac:dyDescent="0.3">
      <c r="A37" s="28"/>
      <c r="B37" s="29" t="s">
        <v>294</v>
      </c>
      <c r="C37" s="30" t="s">
        <v>295</v>
      </c>
      <c r="D37" s="30" t="s">
        <v>125</v>
      </c>
      <c r="E37" s="30" t="s">
        <v>224</v>
      </c>
      <c r="F37" s="30"/>
      <c r="G37" s="30" t="s">
        <v>207</v>
      </c>
      <c r="H37" s="31" t="s">
        <v>208</v>
      </c>
      <c r="I37" s="30"/>
      <c r="J37" s="30"/>
      <c r="K37" s="32"/>
    </row>
    <row r="38" spans="1:11" x14ac:dyDescent="0.3">
      <c r="A38" s="28"/>
      <c r="B38" s="29" t="s">
        <v>28</v>
      </c>
      <c r="C38" s="30" t="s">
        <v>296</v>
      </c>
      <c r="D38" s="30" t="s">
        <v>29</v>
      </c>
      <c r="E38" s="30" t="s">
        <v>206</v>
      </c>
      <c r="F38" s="30"/>
      <c r="G38" s="30" t="s">
        <v>207</v>
      </c>
      <c r="H38" s="31" t="s">
        <v>208</v>
      </c>
      <c r="I38" s="30"/>
      <c r="J38" s="30"/>
      <c r="K38" s="32"/>
    </row>
    <row r="39" spans="1:11" x14ac:dyDescent="0.3">
      <c r="A39" s="28"/>
      <c r="B39" s="29" t="s">
        <v>48</v>
      </c>
      <c r="C39" s="30" t="s">
        <v>297</v>
      </c>
      <c r="D39" s="30" t="s">
        <v>29</v>
      </c>
      <c r="E39" s="30" t="s">
        <v>206</v>
      </c>
      <c r="F39" s="30"/>
      <c r="G39" s="30" t="s">
        <v>207</v>
      </c>
      <c r="H39" s="31" t="s">
        <v>208</v>
      </c>
      <c r="I39" s="30"/>
      <c r="J39" s="30"/>
      <c r="K39" s="32"/>
    </row>
    <row r="40" spans="1:11" x14ac:dyDescent="0.3">
      <c r="A40" s="28"/>
      <c r="B40" s="29" t="s">
        <v>298</v>
      </c>
      <c r="C40" s="30" t="s">
        <v>299</v>
      </c>
      <c r="D40" s="30" t="s">
        <v>125</v>
      </c>
      <c r="E40" s="30" t="s">
        <v>224</v>
      </c>
      <c r="F40" s="30"/>
      <c r="G40" s="30" t="s">
        <v>207</v>
      </c>
      <c r="H40" s="31" t="s">
        <v>208</v>
      </c>
      <c r="I40" s="30"/>
      <c r="J40" s="30"/>
      <c r="K40" s="32"/>
    </row>
    <row r="41" spans="1:11" x14ac:dyDescent="0.3">
      <c r="A41" s="28"/>
      <c r="B41" s="29" t="s">
        <v>300</v>
      </c>
      <c r="C41" s="30" t="s">
        <v>301</v>
      </c>
      <c r="D41" s="30" t="s">
        <v>218</v>
      </c>
      <c r="E41" s="30" t="s">
        <v>212</v>
      </c>
      <c r="F41" s="30"/>
      <c r="G41" s="30" t="s">
        <v>227</v>
      </c>
      <c r="H41" s="33" t="s">
        <v>215</v>
      </c>
      <c r="I41" s="30"/>
      <c r="J41" s="30"/>
      <c r="K41" s="32"/>
    </row>
    <row r="42" spans="1:11" x14ac:dyDescent="0.3">
      <c r="A42" s="28"/>
      <c r="B42" s="29" t="s">
        <v>137</v>
      </c>
      <c r="C42" s="30" t="s">
        <v>302</v>
      </c>
      <c r="D42" s="30" t="s">
        <v>218</v>
      </c>
      <c r="E42" s="30" t="s">
        <v>212</v>
      </c>
      <c r="F42" s="30" t="s">
        <v>303</v>
      </c>
      <c r="G42" s="30" t="s">
        <v>253</v>
      </c>
      <c r="H42" s="31" t="s">
        <v>208</v>
      </c>
      <c r="I42" s="30"/>
      <c r="J42" s="30"/>
      <c r="K42" s="32"/>
    </row>
    <row r="43" spans="1:11" x14ac:dyDescent="0.3">
      <c r="A43" s="28"/>
      <c r="B43" s="29" t="s">
        <v>304</v>
      </c>
      <c r="C43" s="30" t="s">
        <v>305</v>
      </c>
      <c r="D43" s="30" t="s">
        <v>274</v>
      </c>
      <c r="E43" s="30" t="s">
        <v>212</v>
      </c>
      <c r="F43" s="30" t="s">
        <v>306</v>
      </c>
      <c r="G43" s="30" t="s">
        <v>214</v>
      </c>
      <c r="H43" s="33" t="s">
        <v>215</v>
      </c>
      <c r="I43" s="30"/>
      <c r="J43" s="30"/>
      <c r="K43" s="32"/>
    </row>
    <row r="44" spans="1:11" x14ac:dyDescent="0.3">
      <c r="A44" s="28"/>
      <c r="B44" s="29" t="s">
        <v>307</v>
      </c>
      <c r="C44" s="30" t="s">
        <v>308</v>
      </c>
      <c r="D44" s="30" t="s">
        <v>125</v>
      </c>
      <c r="E44" s="30" t="s">
        <v>224</v>
      </c>
      <c r="F44" s="30" t="s">
        <v>309</v>
      </c>
      <c r="G44" s="30" t="s">
        <v>214</v>
      </c>
      <c r="H44" s="33" t="s">
        <v>215</v>
      </c>
      <c r="I44" s="30"/>
      <c r="J44" s="30"/>
      <c r="K44" s="32"/>
    </row>
    <row r="45" spans="1:11" x14ac:dyDescent="0.3">
      <c r="A45" s="28"/>
      <c r="B45" s="29" t="s">
        <v>310</v>
      </c>
      <c r="C45" s="30" t="s">
        <v>311</v>
      </c>
      <c r="D45" s="30" t="s">
        <v>29</v>
      </c>
      <c r="E45" s="30" t="s">
        <v>212</v>
      </c>
      <c r="F45" s="30"/>
      <c r="G45" s="30" t="s">
        <v>207</v>
      </c>
      <c r="H45" s="31" t="s">
        <v>208</v>
      </c>
      <c r="I45" s="30"/>
      <c r="J45" s="30"/>
      <c r="K45" s="32"/>
    </row>
    <row r="46" spans="1:11" x14ac:dyDescent="0.3">
      <c r="A46" s="28"/>
      <c r="B46" s="29" t="s">
        <v>187</v>
      </c>
      <c r="C46" s="30" t="s">
        <v>312</v>
      </c>
      <c r="D46" s="30" t="s">
        <v>29</v>
      </c>
      <c r="E46" s="30" t="s">
        <v>206</v>
      </c>
      <c r="F46" s="30"/>
      <c r="G46" s="30" t="s">
        <v>227</v>
      </c>
      <c r="H46" s="33" t="s">
        <v>215</v>
      </c>
      <c r="I46" s="30"/>
      <c r="J46" s="30"/>
      <c r="K46" s="32"/>
    </row>
    <row r="47" spans="1:11" x14ac:dyDescent="0.3">
      <c r="A47" s="28"/>
      <c r="B47" s="29" t="s">
        <v>313</v>
      </c>
      <c r="C47" s="30" t="s">
        <v>314</v>
      </c>
      <c r="D47" s="30" t="s">
        <v>125</v>
      </c>
      <c r="E47" s="30" t="s">
        <v>206</v>
      </c>
      <c r="F47" s="30"/>
      <c r="G47" s="30" t="s">
        <v>207</v>
      </c>
      <c r="H47" s="31" t="s">
        <v>208</v>
      </c>
      <c r="I47" s="30"/>
      <c r="J47" s="30"/>
      <c r="K47" s="32"/>
    </row>
    <row r="48" spans="1:11" x14ac:dyDescent="0.3">
      <c r="A48" s="28"/>
      <c r="B48" s="29" t="s">
        <v>315</v>
      </c>
      <c r="C48" s="30" t="s">
        <v>316</v>
      </c>
      <c r="D48" s="30" t="s">
        <v>29</v>
      </c>
      <c r="E48" s="30" t="s">
        <v>206</v>
      </c>
      <c r="F48" s="30"/>
      <c r="G48" s="30" t="s">
        <v>207</v>
      </c>
      <c r="H48" s="31" t="s">
        <v>208</v>
      </c>
      <c r="I48" s="30"/>
      <c r="J48" s="30"/>
      <c r="K48" s="32"/>
    </row>
    <row r="49" spans="1:11" x14ac:dyDescent="0.3">
      <c r="A49" s="28"/>
      <c r="B49" s="29" t="s">
        <v>22</v>
      </c>
      <c r="C49" s="30" t="s">
        <v>317</v>
      </c>
      <c r="D49" s="30" t="s">
        <v>250</v>
      </c>
      <c r="E49" s="30" t="s">
        <v>206</v>
      </c>
      <c r="F49" s="30"/>
      <c r="G49" s="30" t="s">
        <v>207</v>
      </c>
      <c r="H49" s="31" t="s">
        <v>208</v>
      </c>
      <c r="I49" s="30"/>
      <c r="J49" s="30"/>
      <c r="K49" s="32"/>
    </row>
    <row r="50" spans="1:11" x14ac:dyDescent="0.3">
      <c r="A50" s="28"/>
      <c r="B50" s="29" t="s">
        <v>318</v>
      </c>
      <c r="C50" s="30" t="s">
        <v>319</v>
      </c>
      <c r="D50" s="30" t="s">
        <v>218</v>
      </c>
      <c r="E50" s="30" t="s">
        <v>212</v>
      </c>
      <c r="F50" s="30" t="s">
        <v>320</v>
      </c>
      <c r="G50" s="30" t="s">
        <v>253</v>
      </c>
      <c r="H50" s="31" t="s">
        <v>208</v>
      </c>
      <c r="I50" s="30"/>
      <c r="J50" s="30"/>
      <c r="K50" s="32"/>
    </row>
    <row r="51" spans="1:11" x14ac:dyDescent="0.3">
      <c r="A51" s="28"/>
      <c r="B51" s="29" t="s">
        <v>155</v>
      </c>
      <c r="C51" s="30" t="s">
        <v>321</v>
      </c>
      <c r="D51" s="30" t="s">
        <v>29</v>
      </c>
      <c r="E51" s="30" t="s">
        <v>206</v>
      </c>
      <c r="F51" s="30" t="s">
        <v>322</v>
      </c>
      <c r="G51" s="30" t="s">
        <v>159</v>
      </c>
      <c r="H51" s="33" t="s">
        <v>215</v>
      </c>
      <c r="I51" s="30"/>
      <c r="J51" s="30"/>
      <c r="K51" s="32"/>
    </row>
    <row r="52" spans="1:11" x14ac:dyDescent="0.3">
      <c r="A52" s="28"/>
      <c r="B52" s="29" t="s">
        <v>323</v>
      </c>
      <c r="C52" s="30" t="s">
        <v>324</v>
      </c>
      <c r="D52" s="30" t="s">
        <v>125</v>
      </c>
      <c r="E52" s="30" t="s">
        <v>224</v>
      </c>
      <c r="F52" s="30"/>
      <c r="G52" s="30" t="s">
        <v>227</v>
      </c>
      <c r="H52" s="33" t="s">
        <v>215</v>
      </c>
      <c r="I52" s="30"/>
      <c r="J52" s="30"/>
      <c r="K52" s="32"/>
    </row>
    <row r="53" spans="1:11" x14ac:dyDescent="0.3">
      <c r="A53" s="28"/>
      <c r="B53" s="29" t="s">
        <v>325</v>
      </c>
      <c r="C53" s="30" t="s">
        <v>326</v>
      </c>
      <c r="D53" s="30" t="s">
        <v>125</v>
      </c>
      <c r="E53" s="30" t="s">
        <v>206</v>
      </c>
      <c r="F53" s="30" t="s">
        <v>327</v>
      </c>
      <c r="G53" s="30" t="s">
        <v>214</v>
      </c>
      <c r="H53" s="33" t="s">
        <v>215</v>
      </c>
      <c r="I53" s="30"/>
      <c r="J53" s="30"/>
      <c r="K53" s="32"/>
    </row>
    <row r="54" spans="1:11" x14ac:dyDescent="0.3">
      <c r="A54" s="28"/>
      <c r="B54" s="29" t="s">
        <v>328</v>
      </c>
      <c r="C54" s="30" t="s">
        <v>329</v>
      </c>
      <c r="D54" s="30" t="s">
        <v>125</v>
      </c>
      <c r="E54" s="30" t="s">
        <v>224</v>
      </c>
      <c r="F54" s="30" t="s">
        <v>330</v>
      </c>
      <c r="G54" s="30" t="s">
        <v>214</v>
      </c>
      <c r="H54" s="33" t="s">
        <v>215</v>
      </c>
      <c r="I54" s="30"/>
      <c r="J54" s="30"/>
      <c r="K54" s="32"/>
    </row>
    <row r="55" spans="1:11" x14ac:dyDescent="0.3">
      <c r="A55" s="28"/>
      <c r="B55" s="29" t="s">
        <v>331</v>
      </c>
      <c r="C55" s="30" t="s">
        <v>332</v>
      </c>
      <c r="D55" s="30" t="s">
        <v>29</v>
      </c>
      <c r="E55" s="30" t="s">
        <v>206</v>
      </c>
      <c r="F55" s="30"/>
      <c r="G55" s="30" t="s">
        <v>207</v>
      </c>
      <c r="H55" s="31" t="s">
        <v>208</v>
      </c>
      <c r="I55" s="30"/>
      <c r="J55" s="30"/>
      <c r="K55" s="32"/>
    </row>
    <row r="56" spans="1:11" x14ac:dyDescent="0.3">
      <c r="A56" s="28"/>
      <c r="B56" s="29" t="s">
        <v>333</v>
      </c>
      <c r="C56" s="30" t="s">
        <v>334</v>
      </c>
      <c r="D56" s="30" t="s">
        <v>125</v>
      </c>
      <c r="E56" s="30" t="s">
        <v>224</v>
      </c>
      <c r="F56" s="30"/>
      <c r="G56" s="30" t="s">
        <v>227</v>
      </c>
      <c r="H56" s="33" t="s">
        <v>215</v>
      </c>
      <c r="I56" s="30"/>
      <c r="J56" s="30"/>
      <c r="K56" s="32"/>
    </row>
    <row r="57" spans="1:11" x14ac:dyDescent="0.3">
      <c r="A57" s="28"/>
      <c r="B57" s="29" t="s">
        <v>335</v>
      </c>
      <c r="C57" s="30" t="s">
        <v>336</v>
      </c>
      <c r="D57" s="30" t="s">
        <v>29</v>
      </c>
      <c r="E57" s="30" t="s">
        <v>212</v>
      </c>
      <c r="F57" s="30" t="s">
        <v>337</v>
      </c>
      <c r="G57" s="30" t="s">
        <v>207</v>
      </c>
      <c r="H57" s="31" t="s">
        <v>208</v>
      </c>
      <c r="I57" s="30"/>
      <c r="J57" s="30"/>
      <c r="K57" s="32"/>
    </row>
    <row r="58" spans="1:11" x14ac:dyDescent="0.3">
      <c r="A58" s="28"/>
      <c r="B58" s="29" t="s">
        <v>16</v>
      </c>
      <c r="C58" s="30" t="s">
        <v>338</v>
      </c>
      <c r="D58" s="30" t="s">
        <v>250</v>
      </c>
      <c r="E58" s="30" t="s">
        <v>206</v>
      </c>
      <c r="F58" s="30"/>
      <c r="G58" s="30" t="s">
        <v>207</v>
      </c>
      <c r="H58" s="31" t="s">
        <v>208</v>
      </c>
      <c r="I58" s="30"/>
      <c r="J58" s="30"/>
      <c r="K58" s="32"/>
    </row>
    <row r="59" spans="1:11" x14ac:dyDescent="0.3">
      <c r="A59" s="28"/>
      <c r="B59" s="29" t="s">
        <v>77</v>
      </c>
      <c r="C59" s="30" t="s">
        <v>339</v>
      </c>
      <c r="D59" s="30" t="s">
        <v>29</v>
      </c>
      <c r="E59" s="30" t="s">
        <v>206</v>
      </c>
      <c r="F59" s="30"/>
      <c r="G59" s="30" t="s">
        <v>207</v>
      </c>
      <c r="H59" s="31" t="s">
        <v>208</v>
      </c>
      <c r="I59" s="30"/>
      <c r="J59" s="30"/>
      <c r="K59" s="32"/>
    </row>
    <row r="60" spans="1:11" x14ac:dyDescent="0.3">
      <c r="A60" s="28"/>
      <c r="B60" s="29" t="s">
        <v>189</v>
      </c>
      <c r="C60" s="30" t="s">
        <v>340</v>
      </c>
      <c r="D60" s="30" t="s">
        <v>29</v>
      </c>
      <c r="E60" s="30" t="s">
        <v>206</v>
      </c>
      <c r="F60" s="30" t="s">
        <v>341</v>
      </c>
      <c r="G60" s="30" t="s">
        <v>342</v>
      </c>
      <c r="H60" s="33" t="s">
        <v>215</v>
      </c>
      <c r="I60" s="30"/>
      <c r="J60" s="30"/>
      <c r="K60" s="32"/>
    </row>
    <row r="61" spans="1:11" x14ac:dyDescent="0.3">
      <c r="A61" s="28"/>
      <c r="B61" s="29" t="s">
        <v>343</v>
      </c>
      <c r="C61" s="30" t="s">
        <v>344</v>
      </c>
      <c r="D61" s="30" t="s">
        <v>29</v>
      </c>
      <c r="E61" s="30" t="s">
        <v>212</v>
      </c>
      <c r="F61" s="30"/>
      <c r="G61" s="30" t="s">
        <v>207</v>
      </c>
      <c r="H61" s="31" t="s">
        <v>208</v>
      </c>
      <c r="I61" s="30"/>
      <c r="J61" s="30"/>
      <c r="K61" s="32"/>
    </row>
    <row r="62" spans="1:11" x14ac:dyDescent="0.3">
      <c r="A62" s="28"/>
      <c r="B62" s="29" t="s">
        <v>345</v>
      </c>
      <c r="C62" s="30" t="s">
        <v>346</v>
      </c>
      <c r="D62" s="30" t="s">
        <v>125</v>
      </c>
      <c r="E62" s="30" t="s">
        <v>206</v>
      </c>
      <c r="F62" s="30"/>
      <c r="G62" s="30" t="s">
        <v>207</v>
      </c>
      <c r="H62" s="31" t="s">
        <v>208</v>
      </c>
      <c r="I62" s="30"/>
      <c r="J62" s="30"/>
      <c r="K62" s="32"/>
    </row>
    <row r="63" spans="1:11" x14ac:dyDescent="0.3">
      <c r="A63" s="28"/>
      <c r="B63" s="29" t="s">
        <v>109</v>
      </c>
      <c r="C63" s="30" t="s">
        <v>347</v>
      </c>
      <c r="D63" s="30" t="s">
        <v>102</v>
      </c>
      <c r="E63" s="30" t="s">
        <v>206</v>
      </c>
      <c r="F63" s="30"/>
      <c r="G63" s="30" t="s">
        <v>207</v>
      </c>
      <c r="H63" s="31" t="s">
        <v>208</v>
      </c>
      <c r="I63" s="30"/>
      <c r="J63" s="30"/>
      <c r="K63" s="32"/>
    </row>
    <row r="64" spans="1:11" x14ac:dyDescent="0.3">
      <c r="A64" s="28"/>
      <c r="B64" s="29" t="s">
        <v>129</v>
      </c>
      <c r="C64" s="30" t="s">
        <v>348</v>
      </c>
      <c r="D64" s="30" t="s">
        <v>29</v>
      </c>
      <c r="E64" s="30" t="s">
        <v>206</v>
      </c>
      <c r="F64" s="30" t="s">
        <v>232</v>
      </c>
      <c r="G64" s="30" t="s">
        <v>233</v>
      </c>
      <c r="H64" s="31" t="s">
        <v>208</v>
      </c>
      <c r="I64" s="30"/>
      <c r="J64" s="30"/>
      <c r="K64" s="32"/>
    </row>
    <row r="65" spans="1:11" x14ac:dyDescent="0.3">
      <c r="A65" s="28"/>
      <c r="B65" s="29" t="s">
        <v>349</v>
      </c>
      <c r="C65" s="30" t="s">
        <v>350</v>
      </c>
      <c r="D65" s="30" t="s">
        <v>125</v>
      </c>
      <c r="E65" s="30" t="s">
        <v>224</v>
      </c>
      <c r="F65" s="30"/>
      <c r="G65" s="30" t="s">
        <v>207</v>
      </c>
      <c r="H65" s="31" t="s">
        <v>208</v>
      </c>
      <c r="I65" s="30"/>
      <c r="J65" s="30"/>
      <c r="K65" s="32"/>
    </row>
    <row r="66" spans="1:11" x14ac:dyDescent="0.3">
      <c r="A66" s="28"/>
      <c r="B66" s="29" t="s">
        <v>351</v>
      </c>
      <c r="C66" s="30" t="s">
        <v>352</v>
      </c>
      <c r="D66" s="30" t="s">
        <v>29</v>
      </c>
      <c r="E66" s="30" t="s">
        <v>206</v>
      </c>
      <c r="F66" s="30"/>
      <c r="G66" s="30" t="s">
        <v>207</v>
      </c>
      <c r="H66" s="31" t="s">
        <v>208</v>
      </c>
      <c r="I66" s="30"/>
      <c r="J66" s="30"/>
      <c r="K66" s="32"/>
    </row>
    <row r="67" spans="1:11" x14ac:dyDescent="0.3">
      <c r="A67" s="28"/>
      <c r="B67" s="29" t="s">
        <v>353</v>
      </c>
      <c r="C67" s="30" t="s">
        <v>354</v>
      </c>
      <c r="D67" s="30" t="s">
        <v>29</v>
      </c>
      <c r="E67" s="30" t="s">
        <v>212</v>
      </c>
      <c r="F67" s="30"/>
      <c r="G67" s="30" t="s">
        <v>207</v>
      </c>
      <c r="H67" s="31" t="s">
        <v>208</v>
      </c>
      <c r="I67" s="30"/>
      <c r="J67" s="30"/>
      <c r="K67" s="32"/>
    </row>
    <row r="68" spans="1:11" x14ac:dyDescent="0.3">
      <c r="A68" s="28"/>
      <c r="B68" s="29" t="s">
        <v>355</v>
      </c>
      <c r="C68" s="30" t="s">
        <v>356</v>
      </c>
      <c r="D68" s="30" t="s">
        <v>125</v>
      </c>
      <c r="E68" s="30" t="s">
        <v>224</v>
      </c>
      <c r="F68" s="30"/>
      <c r="G68" s="30" t="s">
        <v>207</v>
      </c>
      <c r="H68" s="31" t="s">
        <v>208</v>
      </c>
      <c r="I68" s="30"/>
      <c r="J68" s="30"/>
      <c r="K68" s="32"/>
    </row>
    <row r="69" spans="1:11" x14ac:dyDescent="0.3">
      <c r="A69" s="28"/>
      <c r="B69" s="29" t="s">
        <v>357</v>
      </c>
      <c r="C69" s="30" t="s">
        <v>358</v>
      </c>
      <c r="D69" s="30" t="s">
        <v>125</v>
      </c>
      <c r="E69" s="30" t="s">
        <v>206</v>
      </c>
      <c r="F69" s="30"/>
      <c r="G69" s="30" t="s">
        <v>207</v>
      </c>
      <c r="H69" s="31" t="s">
        <v>208</v>
      </c>
      <c r="I69" s="30"/>
      <c r="J69" s="30"/>
      <c r="K69" s="32"/>
    </row>
    <row r="70" spans="1:11" x14ac:dyDescent="0.3">
      <c r="A70" s="28"/>
      <c r="B70" s="29" t="s">
        <v>359</v>
      </c>
      <c r="C70" s="30" t="s">
        <v>360</v>
      </c>
      <c r="D70" s="30" t="s">
        <v>274</v>
      </c>
      <c r="E70" s="30" t="s">
        <v>212</v>
      </c>
      <c r="F70" s="30" t="s">
        <v>361</v>
      </c>
      <c r="G70" s="30" t="s">
        <v>159</v>
      </c>
      <c r="H70" s="33" t="s">
        <v>215</v>
      </c>
      <c r="I70" s="30"/>
      <c r="J70" s="30"/>
      <c r="K70" s="32"/>
    </row>
    <row r="71" spans="1:11" x14ac:dyDescent="0.3">
      <c r="A71" s="28"/>
      <c r="B71" s="29" t="s">
        <v>362</v>
      </c>
      <c r="C71" s="30" t="s">
        <v>363</v>
      </c>
      <c r="D71" s="30" t="s">
        <v>218</v>
      </c>
      <c r="E71" s="30" t="s">
        <v>212</v>
      </c>
      <c r="F71" s="30"/>
      <c r="G71" s="30" t="s">
        <v>207</v>
      </c>
      <c r="H71" s="31" t="s">
        <v>208</v>
      </c>
      <c r="I71" s="30"/>
      <c r="J71" s="30"/>
      <c r="K71" s="32"/>
    </row>
    <row r="72" spans="1:11" x14ac:dyDescent="0.3">
      <c r="A72" s="28"/>
      <c r="B72" s="29" t="s">
        <v>364</v>
      </c>
      <c r="C72" s="30" t="s">
        <v>365</v>
      </c>
      <c r="D72" s="30" t="s">
        <v>125</v>
      </c>
      <c r="E72" s="30" t="s">
        <v>224</v>
      </c>
      <c r="F72" s="30" t="s">
        <v>366</v>
      </c>
      <c r="G72" s="30" t="s">
        <v>214</v>
      </c>
      <c r="H72" s="33" t="s">
        <v>215</v>
      </c>
      <c r="I72" s="30"/>
      <c r="J72" s="30"/>
      <c r="K72" s="32"/>
    </row>
    <row r="73" spans="1:11" x14ac:dyDescent="0.3">
      <c r="A73" s="28"/>
      <c r="B73" s="29" t="s">
        <v>367</v>
      </c>
      <c r="C73" s="30" t="s">
        <v>368</v>
      </c>
      <c r="D73" s="30" t="s">
        <v>29</v>
      </c>
      <c r="E73" s="30" t="s">
        <v>212</v>
      </c>
      <c r="F73" s="30" t="s">
        <v>369</v>
      </c>
      <c r="G73" s="30" t="s">
        <v>214</v>
      </c>
      <c r="H73" s="33" t="s">
        <v>215</v>
      </c>
      <c r="I73" s="30"/>
      <c r="J73" s="30"/>
      <c r="K73" s="32"/>
    </row>
    <row r="74" spans="1:11" x14ac:dyDescent="0.3">
      <c r="A74" s="28"/>
      <c r="B74" s="29" t="s">
        <v>177</v>
      </c>
      <c r="C74" s="30" t="s">
        <v>370</v>
      </c>
      <c r="D74" s="30" t="s">
        <v>250</v>
      </c>
      <c r="E74" s="30" t="s">
        <v>206</v>
      </c>
      <c r="F74" s="30"/>
      <c r="G74" s="30" t="s">
        <v>227</v>
      </c>
      <c r="H74" s="33" t="s">
        <v>215</v>
      </c>
      <c r="I74" s="30"/>
      <c r="J74" s="30"/>
      <c r="K74" s="32"/>
    </row>
    <row r="75" spans="1:11" x14ac:dyDescent="0.3">
      <c r="A75" s="28"/>
      <c r="B75" s="29" t="s">
        <v>90</v>
      </c>
      <c r="C75" s="30" t="s">
        <v>371</v>
      </c>
      <c r="D75" s="30" t="s">
        <v>29</v>
      </c>
      <c r="E75" s="30" t="s">
        <v>206</v>
      </c>
      <c r="F75" s="30"/>
      <c r="G75" s="30" t="s">
        <v>207</v>
      </c>
      <c r="H75" s="31" t="s">
        <v>208</v>
      </c>
      <c r="I75" s="30"/>
      <c r="J75" s="30"/>
      <c r="K75" s="32"/>
    </row>
    <row r="76" spans="1:11" x14ac:dyDescent="0.3">
      <c r="A76" s="28"/>
      <c r="B76" s="29" t="s">
        <v>132</v>
      </c>
      <c r="C76" s="30" t="s">
        <v>372</v>
      </c>
      <c r="D76" s="30" t="s">
        <v>29</v>
      </c>
      <c r="E76" s="30" t="s">
        <v>206</v>
      </c>
      <c r="F76" s="30" t="s">
        <v>373</v>
      </c>
      <c r="G76" s="30" t="s">
        <v>233</v>
      </c>
      <c r="H76" s="31" t="s">
        <v>208</v>
      </c>
      <c r="I76" s="30"/>
      <c r="J76" s="30"/>
      <c r="K76" s="32"/>
    </row>
    <row r="77" spans="1:11" x14ac:dyDescent="0.3">
      <c r="A77" s="28"/>
      <c r="B77" s="29" t="s">
        <v>374</v>
      </c>
      <c r="C77" s="30" t="s">
        <v>375</v>
      </c>
      <c r="D77" s="30" t="s">
        <v>125</v>
      </c>
      <c r="E77" s="30" t="s">
        <v>224</v>
      </c>
      <c r="F77" s="30"/>
      <c r="G77" s="30" t="s">
        <v>159</v>
      </c>
      <c r="H77" s="33" t="s">
        <v>215</v>
      </c>
      <c r="I77" s="30"/>
      <c r="J77" s="30"/>
      <c r="K77" s="32"/>
    </row>
    <row r="78" spans="1:11" x14ac:dyDescent="0.3">
      <c r="A78" s="28"/>
      <c r="B78" s="29" t="s">
        <v>376</v>
      </c>
      <c r="C78" s="30" t="s">
        <v>377</v>
      </c>
      <c r="D78" s="30" t="s">
        <v>218</v>
      </c>
      <c r="E78" s="30" t="s">
        <v>212</v>
      </c>
      <c r="F78" s="30" t="s">
        <v>378</v>
      </c>
      <c r="G78" s="30" t="s">
        <v>379</v>
      </c>
      <c r="H78" s="33" t="s">
        <v>215</v>
      </c>
      <c r="I78" s="30"/>
      <c r="J78" s="30"/>
      <c r="K78" s="32"/>
    </row>
    <row r="79" spans="1:11" x14ac:dyDescent="0.3">
      <c r="A79" s="28"/>
      <c r="B79" s="29" t="s">
        <v>380</v>
      </c>
      <c r="C79" s="30" t="s">
        <v>381</v>
      </c>
      <c r="D79" s="30" t="s">
        <v>125</v>
      </c>
      <c r="E79" s="30" t="s">
        <v>224</v>
      </c>
      <c r="F79" s="30"/>
      <c r="G79" s="30" t="s">
        <v>159</v>
      </c>
      <c r="H79" s="33" t="s">
        <v>215</v>
      </c>
      <c r="I79" s="30"/>
      <c r="J79" s="30"/>
      <c r="K79" s="32"/>
    </row>
    <row r="80" spans="1:11" x14ac:dyDescent="0.3">
      <c r="A80" s="28"/>
      <c r="B80" s="29" t="s">
        <v>382</v>
      </c>
      <c r="C80" s="30" t="s">
        <v>383</v>
      </c>
      <c r="D80" s="30" t="s">
        <v>125</v>
      </c>
      <c r="E80" s="30" t="s">
        <v>224</v>
      </c>
      <c r="F80" s="30" t="s">
        <v>384</v>
      </c>
      <c r="G80" s="30" t="s">
        <v>214</v>
      </c>
      <c r="H80" s="33" t="s">
        <v>215</v>
      </c>
      <c r="I80" s="30"/>
      <c r="J80" s="30"/>
      <c r="K80" s="32"/>
    </row>
    <row r="81" spans="1:11" x14ac:dyDescent="0.3">
      <c r="A81" s="28"/>
      <c r="B81" s="29" t="s">
        <v>385</v>
      </c>
      <c r="C81" s="30" t="s">
        <v>386</v>
      </c>
      <c r="D81" s="30" t="s">
        <v>125</v>
      </c>
      <c r="E81" s="30" t="s">
        <v>224</v>
      </c>
      <c r="F81" s="30"/>
      <c r="G81" s="30" t="s">
        <v>227</v>
      </c>
      <c r="H81" s="33" t="s">
        <v>215</v>
      </c>
      <c r="I81" s="30"/>
      <c r="J81" s="30"/>
      <c r="K81" s="32"/>
    </row>
    <row r="82" spans="1:11" x14ac:dyDescent="0.3">
      <c r="A82" s="28"/>
      <c r="B82" s="29" t="s">
        <v>92</v>
      </c>
      <c r="C82" s="30" t="s">
        <v>387</v>
      </c>
      <c r="D82" s="30" t="s">
        <v>29</v>
      </c>
      <c r="E82" s="30" t="s">
        <v>206</v>
      </c>
      <c r="F82" s="30"/>
      <c r="G82" s="30" t="s">
        <v>207</v>
      </c>
      <c r="H82" s="31" t="s">
        <v>208</v>
      </c>
      <c r="I82" s="30"/>
      <c r="J82" s="30"/>
      <c r="K82" s="32"/>
    </row>
    <row r="83" spans="1:11" x14ac:dyDescent="0.3">
      <c r="A83" s="28"/>
      <c r="B83" s="29" t="s">
        <v>388</v>
      </c>
      <c r="C83" s="30" t="s">
        <v>389</v>
      </c>
      <c r="D83" s="30" t="s">
        <v>125</v>
      </c>
      <c r="E83" s="30" t="s">
        <v>224</v>
      </c>
      <c r="F83" s="30"/>
      <c r="G83" s="30" t="s">
        <v>207</v>
      </c>
      <c r="H83" s="31" t="s">
        <v>208</v>
      </c>
      <c r="I83" s="30"/>
      <c r="J83" s="30"/>
      <c r="K83" s="32"/>
    </row>
    <row r="84" spans="1:11" x14ac:dyDescent="0.3">
      <c r="A84" s="28"/>
      <c r="B84" s="29" t="s">
        <v>390</v>
      </c>
      <c r="C84" s="30" t="s">
        <v>391</v>
      </c>
      <c r="D84" s="30" t="s">
        <v>218</v>
      </c>
      <c r="E84" s="30" t="s">
        <v>212</v>
      </c>
      <c r="F84" s="30" t="s">
        <v>392</v>
      </c>
      <c r="G84" s="30" t="s">
        <v>159</v>
      </c>
      <c r="H84" s="33" t="s">
        <v>215</v>
      </c>
      <c r="I84" s="30"/>
      <c r="J84" s="30"/>
      <c r="K84" s="32"/>
    </row>
    <row r="85" spans="1:11" x14ac:dyDescent="0.3">
      <c r="A85" s="28"/>
      <c r="B85" s="29" t="s">
        <v>127</v>
      </c>
      <c r="C85" s="30" t="s">
        <v>393</v>
      </c>
      <c r="D85" s="30" t="s">
        <v>29</v>
      </c>
      <c r="E85" s="30" t="s">
        <v>206</v>
      </c>
      <c r="F85" s="30" t="s">
        <v>394</v>
      </c>
      <c r="G85" s="30" t="s">
        <v>233</v>
      </c>
      <c r="H85" s="31" t="s">
        <v>208</v>
      </c>
      <c r="I85" s="30"/>
      <c r="J85" s="30"/>
      <c r="K85" s="32"/>
    </row>
    <row r="86" spans="1:11" x14ac:dyDescent="0.3">
      <c r="A86" s="28"/>
      <c r="B86" s="29" t="s">
        <v>395</v>
      </c>
      <c r="C86" s="30" t="s">
        <v>396</v>
      </c>
      <c r="D86" s="30" t="s">
        <v>125</v>
      </c>
      <c r="E86" s="30" t="s">
        <v>224</v>
      </c>
      <c r="F86" s="30"/>
      <c r="G86" s="30" t="s">
        <v>227</v>
      </c>
      <c r="H86" s="33" t="s">
        <v>215</v>
      </c>
      <c r="I86" s="30"/>
      <c r="J86" s="30"/>
      <c r="K86" s="32"/>
    </row>
    <row r="87" spans="1:11" x14ac:dyDescent="0.3">
      <c r="A87" s="28"/>
      <c r="B87" s="29" t="s">
        <v>31</v>
      </c>
      <c r="C87" s="30" t="s">
        <v>397</v>
      </c>
      <c r="D87" s="30" t="s">
        <v>29</v>
      </c>
      <c r="E87" s="30" t="s">
        <v>206</v>
      </c>
      <c r="F87" s="30"/>
      <c r="G87" s="30" t="s">
        <v>207</v>
      </c>
      <c r="H87" s="31" t="s">
        <v>208</v>
      </c>
      <c r="I87" s="30"/>
      <c r="J87" s="30"/>
      <c r="K87" s="32"/>
    </row>
    <row r="88" spans="1:11" x14ac:dyDescent="0.3">
      <c r="A88" s="28"/>
      <c r="B88" s="29" t="s">
        <v>36</v>
      </c>
      <c r="C88" s="30" t="s">
        <v>398</v>
      </c>
      <c r="D88" s="30" t="s">
        <v>29</v>
      </c>
      <c r="E88" s="30" t="s">
        <v>206</v>
      </c>
      <c r="F88" s="30"/>
      <c r="G88" s="30" t="s">
        <v>207</v>
      </c>
      <c r="H88" s="31" t="s">
        <v>208</v>
      </c>
      <c r="I88" s="30"/>
      <c r="J88" s="30"/>
      <c r="K88" s="32"/>
    </row>
    <row r="89" spans="1:11" x14ac:dyDescent="0.3">
      <c r="A89" s="28"/>
      <c r="B89" s="29" t="s">
        <v>399</v>
      </c>
      <c r="C89" s="30" t="s">
        <v>400</v>
      </c>
      <c r="D89" s="30" t="s">
        <v>125</v>
      </c>
      <c r="E89" s="30" t="s">
        <v>224</v>
      </c>
      <c r="F89" s="30" t="s">
        <v>232</v>
      </c>
      <c r="G89" s="30" t="s">
        <v>233</v>
      </c>
      <c r="H89" s="31" t="s">
        <v>208</v>
      </c>
      <c r="I89" s="30"/>
      <c r="J89" s="30"/>
      <c r="K89" s="32"/>
    </row>
    <row r="90" spans="1:11" x14ac:dyDescent="0.3">
      <c r="A90" s="28"/>
      <c r="B90" s="29" t="s">
        <v>46</v>
      </c>
      <c r="C90" s="30" t="s">
        <v>401</v>
      </c>
      <c r="D90" s="30" t="s">
        <v>29</v>
      </c>
      <c r="E90" s="30" t="s">
        <v>206</v>
      </c>
      <c r="F90" s="30"/>
      <c r="G90" s="30" t="s">
        <v>207</v>
      </c>
      <c r="H90" s="31" t="s">
        <v>208</v>
      </c>
      <c r="I90" s="30"/>
      <c r="J90" s="30"/>
      <c r="K90" s="32"/>
    </row>
    <row r="91" spans="1:11" x14ac:dyDescent="0.3">
      <c r="A91" s="28"/>
      <c r="B91" s="29" t="s">
        <v>37</v>
      </c>
      <c r="C91" s="30" t="s">
        <v>402</v>
      </c>
      <c r="D91" s="30" t="s">
        <v>29</v>
      </c>
      <c r="E91" s="30" t="s">
        <v>206</v>
      </c>
      <c r="F91" s="30"/>
      <c r="G91" s="30" t="s">
        <v>207</v>
      </c>
      <c r="H91" s="31" t="s">
        <v>208</v>
      </c>
      <c r="I91" s="30"/>
      <c r="J91" s="30"/>
      <c r="K91" s="32"/>
    </row>
    <row r="92" spans="1:11" x14ac:dyDescent="0.3">
      <c r="A92" s="28"/>
      <c r="B92" s="29" t="s">
        <v>403</v>
      </c>
      <c r="C92" s="30" t="s">
        <v>404</v>
      </c>
      <c r="D92" s="30" t="s">
        <v>274</v>
      </c>
      <c r="E92" s="30" t="s">
        <v>212</v>
      </c>
      <c r="F92" s="30" t="s">
        <v>405</v>
      </c>
      <c r="G92" s="30" t="s">
        <v>233</v>
      </c>
      <c r="H92" s="31" t="s">
        <v>208</v>
      </c>
      <c r="I92" s="30"/>
      <c r="J92" s="30"/>
      <c r="K92" s="32"/>
    </row>
    <row r="93" spans="1:11" x14ac:dyDescent="0.3">
      <c r="A93" s="28"/>
      <c r="B93" s="29" t="s">
        <v>84</v>
      </c>
      <c r="C93" s="30" t="s">
        <v>406</v>
      </c>
      <c r="D93" s="30" t="s">
        <v>29</v>
      </c>
      <c r="E93" s="30" t="s">
        <v>206</v>
      </c>
      <c r="F93" s="30"/>
      <c r="G93" s="30" t="s">
        <v>207</v>
      </c>
      <c r="H93" s="31" t="s">
        <v>208</v>
      </c>
      <c r="I93" s="30"/>
      <c r="J93" s="30"/>
      <c r="K93" s="32"/>
    </row>
    <row r="94" spans="1:11" x14ac:dyDescent="0.3">
      <c r="A94" s="28"/>
      <c r="B94" s="29" t="s">
        <v>154</v>
      </c>
      <c r="C94" s="30" t="s">
        <v>407</v>
      </c>
      <c r="D94" s="30" t="s">
        <v>29</v>
      </c>
      <c r="E94" s="30" t="s">
        <v>206</v>
      </c>
      <c r="F94" s="30" t="s">
        <v>408</v>
      </c>
      <c r="G94" s="30" t="s">
        <v>159</v>
      </c>
      <c r="H94" s="33" t="s">
        <v>215</v>
      </c>
      <c r="I94" s="30"/>
      <c r="J94" s="30"/>
      <c r="K94" s="32"/>
    </row>
    <row r="95" spans="1:11" x14ac:dyDescent="0.3">
      <c r="A95" s="28"/>
      <c r="B95" s="29" t="s">
        <v>61</v>
      </c>
      <c r="C95" s="30" t="s">
        <v>409</v>
      </c>
      <c r="D95" s="30" t="s">
        <v>29</v>
      </c>
      <c r="E95" s="30" t="s">
        <v>206</v>
      </c>
      <c r="F95" s="30" t="s">
        <v>410</v>
      </c>
      <c r="G95" s="30" t="s">
        <v>207</v>
      </c>
      <c r="H95" s="31" t="s">
        <v>208</v>
      </c>
      <c r="I95" s="30"/>
      <c r="J95" s="30"/>
      <c r="K95" s="32"/>
    </row>
    <row r="96" spans="1:11" x14ac:dyDescent="0.3">
      <c r="A96" s="28"/>
      <c r="B96" s="29" t="s">
        <v>411</v>
      </c>
      <c r="C96" s="30" t="s">
        <v>412</v>
      </c>
      <c r="D96" s="30" t="s">
        <v>218</v>
      </c>
      <c r="E96" s="30" t="s">
        <v>212</v>
      </c>
      <c r="F96" s="30"/>
      <c r="G96" s="30" t="s">
        <v>207</v>
      </c>
      <c r="H96" s="31" t="s">
        <v>208</v>
      </c>
      <c r="I96" s="30"/>
      <c r="J96" s="30"/>
      <c r="K96" s="32"/>
    </row>
    <row r="97" spans="1:11" x14ac:dyDescent="0.3">
      <c r="A97" s="28"/>
      <c r="B97" s="29" t="s">
        <v>158</v>
      </c>
      <c r="C97" s="30" t="s">
        <v>413</v>
      </c>
      <c r="D97" s="30" t="s">
        <v>27</v>
      </c>
      <c r="E97" s="30" t="s">
        <v>206</v>
      </c>
      <c r="F97" s="30" t="s">
        <v>159</v>
      </c>
      <c r="G97" s="30" t="s">
        <v>159</v>
      </c>
      <c r="H97" s="33" t="s">
        <v>215</v>
      </c>
      <c r="I97" s="30"/>
      <c r="J97" s="30"/>
      <c r="K97" s="32"/>
    </row>
    <row r="98" spans="1:11" x14ac:dyDescent="0.3">
      <c r="A98" s="28"/>
      <c r="B98" s="29" t="s">
        <v>414</v>
      </c>
      <c r="C98" s="30" t="s">
        <v>415</v>
      </c>
      <c r="D98" s="30" t="s">
        <v>218</v>
      </c>
      <c r="E98" s="30" t="s">
        <v>212</v>
      </c>
      <c r="F98" s="30"/>
      <c r="G98" s="30" t="s">
        <v>207</v>
      </c>
      <c r="H98" s="31" t="s">
        <v>208</v>
      </c>
      <c r="I98" s="30"/>
      <c r="J98" s="30"/>
      <c r="K98" s="32"/>
    </row>
    <row r="99" spans="1:11" x14ac:dyDescent="0.3">
      <c r="A99" s="28"/>
      <c r="B99" s="29" t="s">
        <v>164</v>
      </c>
      <c r="C99" s="30" t="s">
        <v>416</v>
      </c>
      <c r="D99" s="30" t="s">
        <v>102</v>
      </c>
      <c r="E99" s="30" t="s">
        <v>206</v>
      </c>
      <c r="F99" s="30" t="s">
        <v>417</v>
      </c>
      <c r="G99" s="30" t="s">
        <v>159</v>
      </c>
      <c r="H99" s="33" t="s">
        <v>215</v>
      </c>
      <c r="I99" s="30"/>
      <c r="J99" s="30"/>
      <c r="K99" s="32"/>
    </row>
    <row r="100" spans="1:11" x14ac:dyDescent="0.3">
      <c r="A100" s="28"/>
      <c r="B100" s="29" t="s">
        <v>418</v>
      </c>
      <c r="C100" s="30" t="s">
        <v>419</v>
      </c>
      <c r="D100" s="30" t="s">
        <v>218</v>
      </c>
      <c r="E100" s="30" t="s">
        <v>212</v>
      </c>
      <c r="F100" s="30" t="s">
        <v>420</v>
      </c>
      <c r="G100" s="30" t="s">
        <v>159</v>
      </c>
      <c r="H100" s="33" t="s">
        <v>215</v>
      </c>
      <c r="I100" s="30"/>
      <c r="J100" s="30"/>
      <c r="K100" s="32"/>
    </row>
    <row r="101" spans="1:11" x14ac:dyDescent="0.3">
      <c r="A101" s="28"/>
      <c r="B101" s="29" t="s">
        <v>421</v>
      </c>
      <c r="C101" s="30" t="s">
        <v>422</v>
      </c>
      <c r="D101" s="30" t="s">
        <v>125</v>
      </c>
      <c r="E101" s="30" t="s">
        <v>206</v>
      </c>
      <c r="F101" s="30" t="s">
        <v>423</v>
      </c>
      <c r="G101" s="30" t="s">
        <v>214</v>
      </c>
      <c r="H101" s="33" t="s">
        <v>215</v>
      </c>
      <c r="I101" s="30"/>
      <c r="J101" s="30"/>
      <c r="K101" s="32"/>
    </row>
    <row r="102" spans="1:11" x14ac:dyDescent="0.3">
      <c r="A102" s="28"/>
      <c r="B102" s="29" t="s">
        <v>424</v>
      </c>
      <c r="C102" s="30" t="s">
        <v>425</v>
      </c>
      <c r="D102" s="30" t="s">
        <v>125</v>
      </c>
      <c r="E102" s="30" t="s">
        <v>224</v>
      </c>
      <c r="F102" s="30"/>
      <c r="G102" s="30" t="s">
        <v>207</v>
      </c>
      <c r="H102" s="31" t="s">
        <v>208</v>
      </c>
      <c r="I102" s="30"/>
      <c r="J102" s="30"/>
      <c r="K102" s="32"/>
    </row>
    <row r="103" spans="1:11" x14ac:dyDescent="0.3">
      <c r="A103" s="28"/>
      <c r="B103" s="29" t="s">
        <v>195</v>
      </c>
      <c r="C103" s="30" t="s">
        <v>426</v>
      </c>
      <c r="D103" s="30" t="s">
        <v>102</v>
      </c>
      <c r="E103" s="30" t="s">
        <v>206</v>
      </c>
      <c r="F103" s="30" t="s">
        <v>427</v>
      </c>
      <c r="G103" s="30" t="s">
        <v>214</v>
      </c>
      <c r="H103" s="33" t="s">
        <v>215</v>
      </c>
      <c r="I103" s="30"/>
      <c r="J103" s="30"/>
      <c r="K103" s="32"/>
    </row>
    <row r="104" spans="1:11" x14ac:dyDescent="0.3">
      <c r="A104" s="28"/>
      <c r="B104" s="29" t="s">
        <v>428</v>
      </c>
      <c r="C104" s="30" t="s">
        <v>429</v>
      </c>
      <c r="D104" s="30" t="s">
        <v>125</v>
      </c>
      <c r="E104" s="30" t="s">
        <v>224</v>
      </c>
      <c r="F104" s="30"/>
      <c r="G104" s="30" t="s">
        <v>207</v>
      </c>
      <c r="H104" s="31" t="s">
        <v>208</v>
      </c>
      <c r="I104" s="30"/>
      <c r="J104" s="30"/>
      <c r="K104" s="32"/>
    </row>
    <row r="105" spans="1:11" x14ac:dyDescent="0.3">
      <c r="A105" s="28"/>
      <c r="B105" s="29" t="s">
        <v>39</v>
      </c>
      <c r="C105" s="30" t="s">
        <v>430</v>
      </c>
      <c r="D105" s="30" t="s">
        <v>29</v>
      </c>
      <c r="E105" s="30" t="s">
        <v>206</v>
      </c>
      <c r="F105" s="30"/>
      <c r="G105" s="30" t="s">
        <v>207</v>
      </c>
      <c r="H105" s="31" t="s">
        <v>208</v>
      </c>
      <c r="I105" s="30"/>
      <c r="J105" s="30"/>
      <c r="K105" s="32"/>
    </row>
    <row r="106" spans="1:11" x14ac:dyDescent="0.3">
      <c r="A106" s="28"/>
      <c r="B106" s="29" t="s">
        <v>153</v>
      </c>
      <c r="C106" s="30" t="s">
        <v>431</v>
      </c>
      <c r="D106" s="30" t="s">
        <v>29</v>
      </c>
      <c r="E106" s="30" t="s">
        <v>206</v>
      </c>
      <c r="F106" s="30" t="s">
        <v>417</v>
      </c>
      <c r="G106" s="30" t="s">
        <v>159</v>
      </c>
      <c r="H106" s="33" t="s">
        <v>215</v>
      </c>
      <c r="I106" s="30"/>
      <c r="J106" s="30"/>
      <c r="K106" s="32"/>
    </row>
    <row r="107" spans="1:11" x14ac:dyDescent="0.3">
      <c r="A107" s="28"/>
      <c r="B107" s="29" t="s">
        <v>97</v>
      </c>
      <c r="C107" s="30" t="s">
        <v>1200</v>
      </c>
      <c r="D107" s="30" t="s">
        <v>29</v>
      </c>
      <c r="E107" s="30" t="s">
        <v>206</v>
      </c>
      <c r="F107" s="30"/>
      <c r="G107" s="30" t="s">
        <v>207</v>
      </c>
      <c r="H107" s="31" t="s">
        <v>208</v>
      </c>
      <c r="I107" s="30"/>
      <c r="J107" s="30"/>
      <c r="K107" s="32"/>
    </row>
    <row r="108" spans="1:11" x14ac:dyDescent="0.3">
      <c r="A108" s="28"/>
      <c r="B108" s="29" t="s">
        <v>432</v>
      </c>
      <c r="C108" s="30" t="s">
        <v>433</v>
      </c>
      <c r="D108" s="30" t="s">
        <v>125</v>
      </c>
      <c r="E108" s="30" t="s">
        <v>224</v>
      </c>
      <c r="F108" s="30"/>
      <c r="G108" s="30" t="s">
        <v>207</v>
      </c>
      <c r="H108" s="31" t="s">
        <v>208</v>
      </c>
      <c r="I108" s="30"/>
      <c r="J108" s="30"/>
      <c r="K108" s="32"/>
    </row>
    <row r="109" spans="1:11" x14ac:dyDescent="0.3">
      <c r="A109" s="28"/>
      <c r="B109" s="29" t="s">
        <v>434</v>
      </c>
      <c r="C109" s="30" t="s">
        <v>435</v>
      </c>
      <c r="D109" s="30" t="s">
        <v>218</v>
      </c>
      <c r="E109" s="30" t="s">
        <v>212</v>
      </c>
      <c r="F109" s="30"/>
      <c r="G109" s="30" t="s">
        <v>207</v>
      </c>
      <c r="H109" s="31" t="s">
        <v>208</v>
      </c>
      <c r="I109" s="30"/>
      <c r="J109" s="30"/>
      <c r="K109" s="32"/>
    </row>
    <row r="110" spans="1:11" x14ac:dyDescent="0.3">
      <c r="A110" s="28"/>
      <c r="B110" s="29" t="s">
        <v>436</v>
      </c>
      <c r="C110" s="30" t="s">
        <v>437</v>
      </c>
      <c r="D110" s="30" t="s">
        <v>274</v>
      </c>
      <c r="E110" s="30" t="s">
        <v>212</v>
      </c>
      <c r="F110" s="30" t="s">
        <v>438</v>
      </c>
      <c r="G110" s="30" t="s">
        <v>269</v>
      </c>
      <c r="H110" s="33" t="s">
        <v>215</v>
      </c>
      <c r="I110" s="30"/>
      <c r="J110" s="30"/>
      <c r="K110" s="32"/>
    </row>
    <row r="111" spans="1:11" x14ac:dyDescent="0.3">
      <c r="A111" s="28"/>
      <c r="B111" s="29" t="s">
        <v>439</v>
      </c>
      <c r="C111" s="30" t="s">
        <v>440</v>
      </c>
      <c r="D111" s="30" t="s">
        <v>125</v>
      </c>
      <c r="E111" s="30" t="s">
        <v>224</v>
      </c>
      <c r="F111" s="30"/>
      <c r="G111" s="30" t="s">
        <v>207</v>
      </c>
      <c r="H111" s="31" t="s">
        <v>208</v>
      </c>
      <c r="I111" s="30"/>
      <c r="J111" s="30"/>
      <c r="K111" s="32"/>
    </row>
    <row r="112" spans="1:11" x14ac:dyDescent="0.3">
      <c r="A112" s="28"/>
      <c r="B112" s="29" t="s">
        <v>118</v>
      </c>
      <c r="C112" s="30" t="s">
        <v>441</v>
      </c>
      <c r="D112" s="30" t="s">
        <v>29</v>
      </c>
      <c r="E112" s="30" t="s">
        <v>206</v>
      </c>
      <c r="F112" s="30" t="s">
        <v>442</v>
      </c>
      <c r="G112" s="30" t="s">
        <v>233</v>
      </c>
      <c r="H112" s="31" t="s">
        <v>208</v>
      </c>
      <c r="I112" s="30"/>
      <c r="J112" s="30"/>
      <c r="K112" s="32"/>
    </row>
    <row r="113" spans="1:11" x14ac:dyDescent="0.3">
      <c r="A113" s="28"/>
      <c r="B113" s="29" t="s">
        <v>443</v>
      </c>
      <c r="C113" s="30" t="s">
        <v>444</v>
      </c>
      <c r="D113" s="30" t="s">
        <v>125</v>
      </c>
      <c r="E113" s="30" t="s">
        <v>224</v>
      </c>
      <c r="F113" s="30"/>
      <c r="G113" s="30" t="s">
        <v>207</v>
      </c>
      <c r="H113" s="31" t="s">
        <v>208</v>
      </c>
      <c r="I113" s="30"/>
      <c r="J113" s="30"/>
      <c r="K113" s="32"/>
    </row>
    <row r="114" spans="1:11" x14ac:dyDescent="0.3">
      <c r="A114" s="28"/>
      <c r="B114" s="29" t="s">
        <v>445</v>
      </c>
      <c r="C114" s="30" t="s">
        <v>446</v>
      </c>
      <c r="D114" s="30" t="s">
        <v>125</v>
      </c>
      <c r="E114" s="30" t="s">
        <v>206</v>
      </c>
      <c r="F114" s="30" t="s">
        <v>447</v>
      </c>
      <c r="G114" s="30" t="s">
        <v>159</v>
      </c>
      <c r="H114" s="33" t="s">
        <v>215</v>
      </c>
      <c r="I114" s="30"/>
      <c r="J114" s="30"/>
      <c r="K114" s="32"/>
    </row>
    <row r="115" spans="1:11" x14ac:dyDescent="0.3">
      <c r="A115" s="28"/>
      <c r="B115" s="29" t="s">
        <v>448</v>
      </c>
      <c r="C115" s="30" t="s">
        <v>449</v>
      </c>
      <c r="D115" s="30" t="s">
        <v>125</v>
      </c>
      <c r="E115" s="30" t="s">
        <v>224</v>
      </c>
      <c r="F115" s="30"/>
      <c r="G115" s="30" t="s">
        <v>207</v>
      </c>
      <c r="H115" s="31" t="s">
        <v>208</v>
      </c>
      <c r="I115" s="30"/>
      <c r="J115" s="30"/>
      <c r="K115" s="32"/>
    </row>
    <row r="116" spans="1:11" x14ac:dyDescent="0.3">
      <c r="A116" s="28"/>
      <c r="B116" s="29" t="s">
        <v>450</v>
      </c>
      <c r="C116" s="30" t="s">
        <v>451</v>
      </c>
      <c r="D116" s="30" t="s">
        <v>125</v>
      </c>
      <c r="E116" s="30" t="s">
        <v>224</v>
      </c>
      <c r="F116" s="30"/>
      <c r="G116" s="30" t="s">
        <v>207</v>
      </c>
      <c r="H116" s="31" t="s">
        <v>208</v>
      </c>
      <c r="I116" s="30"/>
      <c r="J116" s="30"/>
      <c r="K116" s="32"/>
    </row>
    <row r="117" spans="1:11" x14ac:dyDescent="0.3">
      <c r="A117" s="28"/>
      <c r="B117" s="29" t="s">
        <v>452</v>
      </c>
      <c r="C117" s="30" t="s">
        <v>453</v>
      </c>
      <c r="D117" s="30" t="s">
        <v>125</v>
      </c>
      <c r="E117" s="30" t="s">
        <v>224</v>
      </c>
      <c r="F117" s="30"/>
      <c r="G117" s="30" t="s">
        <v>207</v>
      </c>
      <c r="H117" s="31" t="s">
        <v>208</v>
      </c>
      <c r="I117" s="30"/>
      <c r="J117" s="30"/>
      <c r="K117" s="32"/>
    </row>
    <row r="118" spans="1:11" x14ac:dyDescent="0.3">
      <c r="A118" s="28"/>
      <c r="B118" s="29" t="s">
        <v>98</v>
      </c>
      <c r="C118" s="30" t="s">
        <v>454</v>
      </c>
      <c r="D118" s="30" t="s">
        <v>29</v>
      </c>
      <c r="E118" s="30" t="s">
        <v>206</v>
      </c>
      <c r="F118" s="30" t="s">
        <v>410</v>
      </c>
      <c r="G118" s="30" t="s">
        <v>207</v>
      </c>
      <c r="H118" s="31" t="s">
        <v>208</v>
      </c>
      <c r="I118" s="30"/>
      <c r="J118" s="30"/>
      <c r="K118" s="32"/>
    </row>
    <row r="119" spans="1:11" x14ac:dyDescent="0.3">
      <c r="A119" s="28"/>
      <c r="B119" s="29" t="s">
        <v>455</v>
      </c>
      <c r="C119" s="30" t="s">
        <v>456</v>
      </c>
      <c r="D119" s="30" t="s">
        <v>125</v>
      </c>
      <c r="E119" s="30" t="s">
        <v>224</v>
      </c>
      <c r="F119" s="30"/>
      <c r="G119" s="30" t="s">
        <v>207</v>
      </c>
      <c r="H119" s="31" t="s">
        <v>208</v>
      </c>
      <c r="I119" s="30"/>
      <c r="J119" s="30"/>
      <c r="K119" s="32"/>
    </row>
    <row r="120" spans="1:11" x14ac:dyDescent="0.3">
      <c r="A120" s="28"/>
      <c r="B120" s="29" t="s">
        <v>457</v>
      </c>
      <c r="C120" s="30" t="s">
        <v>458</v>
      </c>
      <c r="D120" s="30" t="s">
        <v>102</v>
      </c>
      <c r="E120" s="30" t="s">
        <v>212</v>
      </c>
      <c r="F120" s="30"/>
      <c r="G120" s="30" t="s">
        <v>207</v>
      </c>
      <c r="H120" s="31" t="s">
        <v>208</v>
      </c>
      <c r="I120" s="30"/>
      <c r="J120" s="30"/>
      <c r="K120" s="32"/>
    </row>
    <row r="121" spans="1:11" x14ac:dyDescent="0.3">
      <c r="A121" s="28"/>
      <c r="B121" s="29" t="s">
        <v>122</v>
      </c>
      <c r="C121" s="30" t="s">
        <v>459</v>
      </c>
      <c r="D121" s="30" t="s">
        <v>29</v>
      </c>
      <c r="E121" s="30" t="s">
        <v>206</v>
      </c>
      <c r="F121" s="30" t="s">
        <v>248</v>
      </c>
      <c r="G121" s="30" t="s">
        <v>233</v>
      </c>
      <c r="H121" s="31" t="s">
        <v>208</v>
      </c>
      <c r="I121" s="30"/>
      <c r="J121" s="30"/>
      <c r="K121" s="32"/>
    </row>
    <row r="122" spans="1:11" x14ac:dyDescent="0.3">
      <c r="A122" s="28"/>
      <c r="B122" s="29" t="s">
        <v>133</v>
      </c>
      <c r="C122" s="30" t="s">
        <v>460</v>
      </c>
      <c r="D122" s="30" t="s">
        <v>125</v>
      </c>
      <c r="E122" s="30" t="s">
        <v>206</v>
      </c>
      <c r="F122" s="30" t="s">
        <v>461</v>
      </c>
      <c r="G122" s="30" t="s">
        <v>233</v>
      </c>
      <c r="H122" s="31" t="s">
        <v>208</v>
      </c>
      <c r="I122" s="30"/>
      <c r="J122" s="30"/>
      <c r="K122" s="32"/>
    </row>
    <row r="123" spans="1:11" x14ac:dyDescent="0.3">
      <c r="A123" s="28"/>
      <c r="B123" s="29" t="s">
        <v>462</v>
      </c>
      <c r="C123" s="30" t="s">
        <v>463</v>
      </c>
      <c r="D123" s="30" t="s">
        <v>125</v>
      </c>
      <c r="E123" s="30" t="s">
        <v>206</v>
      </c>
      <c r="F123" s="30"/>
      <c r="G123" s="30" t="s">
        <v>207</v>
      </c>
      <c r="H123" s="31" t="s">
        <v>208</v>
      </c>
      <c r="I123" s="30"/>
      <c r="J123" s="30"/>
      <c r="K123" s="32"/>
    </row>
    <row r="124" spans="1:11" x14ac:dyDescent="0.3">
      <c r="A124" s="28"/>
      <c r="B124" s="29" t="s">
        <v>464</v>
      </c>
      <c r="C124" s="30" t="s">
        <v>465</v>
      </c>
      <c r="D124" s="30" t="s">
        <v>125</v>
      </c>
      <c r="E124" s="30" t="s">
        <v>206</v>
      </c>
      <c r="F124" s="30"/>
      <c r="G124" s="30" t="s">
        <v>207</v>
      </c>
      <c r="H124" s="31" t="s">
        <v>208</v>
      </c>
      <c r="I124" s="30"/>
      <c r="J124" s="30"/>
      <c r="K124" s="32"/>
    </row>
    <row r="125" spans="1:11" x14ac:dyDescent="0.3">
      <c r="A125" s="28"/>
      <c r="B125" s="29" t="s">
        <v>466</v>
      </c>
      <c r="C125" s="30" t="s">
        <v>467</v>
      </c>
      <c r="D125" s="30" t="s">
        <v>125</v>
      </c>
      <c r="E125" s="30" t="s">
        <v>206</v>
      </c>
      <c r="F125" s="30"/>
      <c r="G125" s="30" t="s">
        <v>207</v>
      </c>
      <c r="H125" s="31" t="s">
        <v>208</v>
      </c>
      <c r="I125" s="30"/>
      <c r="J125" s="30"/>
      <c r="K125" s="32"/>
    </row>
    <row r="126" spans="1:11" x14ac:dyDescent="0.3">
      <c r="A126" s="28"/>
      <c r="B126" s="29" t="s">
        <v>35</v>
      </c>
      <c r="C126" s="30" t="s">
        <v>468</v>
      </c>
      <c r="D126" s="30" t="s">
        <v>29</v>
      </c>
      <c r="E126" s="30" t="s">
        <v>206</v>
      </c>
      <c r="F126" s="30"/>
      <c r="G126" s="30" t="s">
        <v>207</v>
      </c>
      <c r="H126" s="31" t="s">
        <v>208</v>
      </c>
      <c r="I126" s="30"/>
      <c r="J126" s="30"/>
      <c r="K126" s="32"/>
    </row>
    <row r="127" spans="1:11" x14ac:dyDescent="0.3">
      <c r="A127" s="28"/>
      <c r="B127" s="29" t="s">
        <v>469</v>
      </c>
      <c r="C127" s="30" t="s">
        <v>470</v>
      </c>
      <c r="D127" s="30" t="s">
        <v>218</v>
      </c>
      <c r="E127" s="30" t="s">
        <v>212</v>
      </c>
      <c r="F127" s="30"/>
      <c r="G127" s="30" t="s">
        <v>207</v>
      </c>
      <c r="H127" s="31" t="s">
        <v>208</v>
      </c>
      <c r="I127" s="30"/>
      <c r="J127" s="30"/>
      <c r="K127" s="32"/>
    </row>
    <row r="128" spans="1:11" x14ac:dyDescent="0.3">
      <c r="A128" s="28"/>
      <c r="B128" s="29" t="s">
        <v>184</v>
      </c>
      <c r="C128" s="30" t="s">
        <v>471</v>
      </c>
      <c r="D128" s="30" t="s">
        <v>102</v>
      </c>
      <c r="E128" s="30" t="s">
        <v>206</v>
      </c>
      <c r="F128" s="30"/>
      <c r="G128" s="30" t="s">
        <v>227</v>
      </c>
      <c r="H128" s="33" t="s">
        <v>215</v>
      </c>
      <c r="I128" s="30"/>
      <c r="J128" s="30"/>
      <c r="K128" s="32"/>
    </row>
    <row r="129" spans="1:11" x14ac:dyDescent="0.3">
      <c r="A129" s="28"/>
      <c r="B129" s="29" t="s">
        <v>472</v>
      </c>
      <c r="C129" s="30" t="s">
        <v>473</v>
      </c>
      <c r="D129" s="30" t="s">
        <v>29</v>
      </c>
      <c r="E129" s="30" t="s">
        <v>206</v>
      </c>
      <c r="F129" s="30"/>
      <c r="G129" s="30" t="s">
        <v>207</v>
      </c>
      <c r="H129" s="31" t="s">
        <v>208</v>
      </c>
      <c r="I129" s="30"/>
      <c r="J129" s="30"/>
      <c r="K129" s="32"/>
    </row>
    <row r="130" spans="1:11" x14ac:dyDescent="0.3">
      <c r="A130" s="28"/>
      <c r="B130" s="29" t="s">
        <v>474</v>
      </c>
      <c r="C130" s="30" t="s">
        <v>475</v>
      </c>
      <c r="D130" s="30" t="s">
        <v>29</v>
      </c>
      <c r="E130" s="30" t="s">
        <v>212</v>
      </c>
      <c r="F130" s="30" t="s">
        <v>476</v>
      </c>
      <c r="G130" s="30" t="s">
        <v>159</v>
      </c>
      <c r="H130" s="33" t="s">
        <v>215</v>
      </c>
      <c r="I130" s="30"/>
      <c r="J130" s="30"/>
      <c r="K130" s="32"/>
    </row>
    <row r="131" spans="1:11" x14ac:dyDescent="0.3">
      <c r="A131" s="28"/>
      <c r="B131" s="29" t="s">
        <v>477</v>
      </c>
      <c r="C131" s="30" t="s">
        <v>478</v>
      </c>
      <c r="D131" s="30" t="s">
        <v>29</v>
      </c>
      <c r="E131" s="30" t="s">
        <v>212</v>
      </c>
      <c r="F131" s="30"/>
      <c r="G131" s="30" t="s">
        <v>207</v>
      </c>
      <c r="H131" s="31" t="s">
        <v>208</v>
      </c>
      <c r="I131" s="30"/>
      <c r="J131" s="30"/>
      <c r="K131" s="32"/>
    </row>
    <row r="132" spans="1:11" x14ac:dyDescent="0.3">
      <c r="A132" s="28"/>
      <c r="B132" s="29" t="s">
        <v>479</v>
      </c>
      <c r="C132" s="30" t="s">
        <v>480</v>
      </c>
      <c r="D132" s="30" t="s">
        <v>125</v>
      </c>
      <c r="E132" s="30" t="s">
        <v>206</v>
      </c>
      <c r="F132" s="30"/>
      <c r="G132" s="30" t="s">
        <v>207</v>
      </c>
      <c r="H132" s="31" t="s">
        <v>208</v>
      </c>
      <c r="I132" s="30"/>
      <c r="J132" s="30"/>
      <c r="K132" s="32"/>
    </row>
    <row r="133" spans="1:11" x14ac:dyDescent="0.3">
      <c r="A133" s="28"/>
      <c r="B133" s="29" t="s">
        <v>481</v>
      </c>
      <c r="C133" s="30" t="s">
        <v>482</v>
      </c>
      <c r="D133" s="30" t="s">
        <v>250</v>
      </c>
      <c r="E133" s="30" t="s">
        <v>206</v>
      </c>
      <c r="F133" s="30" t="s">
        <v>405</v>
      </c>
      <c r="G133" s="30" t="s">
        <v>483</v>
      </c>
      <c r="H133" s="33" t="s">
        <v>215</v>
      </c>
      <c r="I133" s="30"/>
      <c r="J133" s="30"/>
      <c r="K133" s="32"/>
    </row>
    <row r="134" spans="1:11" x14ac:dyDescent="0.3">
      <c r="A134" s="28"/>
      <c r="B134" s="29" t="s">
        <v>484</v>
      </c>
      <c r="C134" s="30" t="s">
        <v>485</v>
      </c>
      <c r="D134" s="30" t="s">
        <v>218</v>
      </c>
      <c r="E134" s="30" t="s">
        <v>212</v>
      </c>
      <c r="F134" s="30"/>
      <c r="G134" s="30" t="s">
        <v>207</v>
      </c>
      <c r="H134" s="31" t="s">
        <v>208</v>
      </c>
      <c r="I134" s="30"/>
      <c r="J134" s="30"/>
      <c r="K134" s="32"/>
    </row>
    <row r="135" spans="1:11" x14ac:dyDescent="0.3">
      <c r="A135" s="28"/>
      <c r="B135" s="29" t="s">
        <v>163</v>
      </c>
      <c r="C135" s="30" t="s">
        <v>486</v>
      </c>
      <c r="D135" s="30" t="s">
        <v>102</v>
      </c>
      <c r="E135" s="30" t="s">
        <v>206</v>
      </c>
      <c r="F135" s="30" t="s">
        <v>487</v>
      </c>
      <c r="G135" s="30" t="s">
        <v>159</v>
      </c>
      <c r="H135" s="33" t="s">
        <v>215</v>
      </c>
      <c r="I135" s="30"/>
      <c r="J135" s="30"/>
      <c r="K135" s="32"/>
    </row>
    <row r="136" spans="1:11" x14ac:dyDescent="0.3">
      <c r="A136" s="28"/>
      <c r="B136" s="29" t="s">
        <v>152</v>
      </c>
      <c r="C136" s="30" t="s">
        <v>488</v>
      </c>
      <c r="D136" s="30" t="s">
        <v>29</v>
      </c>
      <c r="E136" s="30" t="s">
        <v>206</v>
      </c>
      <c r="F136" s="30" t="s">
        <v>417</v>
      </c>
      <c r="G136" s="30" t="s">
        <v>159</v>
      </c>
      <c r="H136" s="33" t="s">
        <v>215</v>
      </c>
      <c r="I136" s="30"/>
      <c r="J136" s="30"/>
      <c r="K136" s="32"/>
    </row>
    <row r="137" spans="1:11" x14ac:dyDescent="0.3">
      <c r="A137" s="28"/>
      <c r="B137" s="29" t="s">
        <v>179</v>
      </c>
      <c r="C137" s="30" t="s">
        <v>489</v>
      </c>
      <c r="D137" s="30" t="s">
        <v>29</v>
      </c>
      <c r="E137" s="30" t="s">
        <v>206</v>
      </c>
      <c r="F137" s="30"/>
      <c r="G137" s="30" t="s">
        <v>227</v>
      </c>
      <c r="H137" s="33" t="s">
        <v>215</v>
      </c>
      <c r="I137" s="30"/>
      <c r="J137" s="30"/>
      <c r="K137" s="32"/>
    </row>
    <row r="138" spans="1:11" x14ac:dyDescent="0.3">
      <c r="A138" s="28"/>
      <c r="B138" s="29" t="s">
        <v>490</v>
      </c>
      <c r="C138" s="30" t="s">
        <v>491</v>
      </c>
      <c r="D138" s="30" t="s">
        <v>125</v>
      </c>
      <c r="E138" s="30" t="s">
        <v>206</v>
      </c>
      <c r="F138" s="30"/>
      <c r="G138" s="30" t="s">
        <v>207</v>
      </c>
      <c r="H138" s="31" t="s">
        <v>208</v>
      </c>
      <c r="I138" s="30"/>
      <c r="J138" s="30"/>
      <c r="K138" s="32"/>
    </row>
    <row r="139" spans="1:11" x14ac:dyDescent="0.3">
      <c r="A139" s="28"/>
      <c r="B139" s="29" t="s">
        <v>492</v>
      </c>
      <c r="C139" s="30" t="s">
        <v>493</v>
      </c>
      <c r="D139" s="30" t="s">
        <v>29</v>
      </c>
      <c r="E139" s="30" t="s">
        <v>212</v>
      </c>
      <c r="F139" s="30" t="s">
        <v>494</v>
      </c>
      <c r="G139" s="30" t="s">
        <v>159</v>
      </c>
      <c r="H139" s="33" t="s">
        <v>215</v>
      </c>
      <c r="I139" s="30"/>
      <c r="J139" s="30"/>
      <c r="K139" s="32"/>
    </row>
    <row r="140" spans="1:11" x14ac:dyDescent="0.3">
      <c r="A140" s="28"/>
      <c r="B140" s="29" t="s">
        <v>495</v>
      </c>
      <c r="C140" s="30" t="s">
        <v>496</v>
      </c>
      <c r="D140" s="30" t="s">
        <v>125</v>
      </c>
      <c r="E140" s="30" t="s">
        <v>224</v>
      </c>
      <c r="F140" s="30"/>
      <c r="G140" s="30" t="s">
        <v>207</v>
      </c>
      <c r="H140" s="31" t="s">
        <v>208</v>
      </c>
      <c r="I140" s="30"/>
      <c r="J140" s="30"/>
      <c r="K140" s="32"/>
    </row>
    <row r="141" spans="1:11" x14ac:dyDescent="0.3">
      <c r="A141" s="28"/>
      <c r="B141" s="29" t="s">
        <v>497</v>
      </c>
      <c r="C141" s="30" t="s">
        <v>498</v>
      </c>
      <c r="D141" s="30" t="s">
        <v>125</v>
      </c>
      <c r="E141" s="30" t="s">
        <v>224</v>
      </c>
      <c r="F141" s="30" t="s">
        <v>232</v>
      </c>
      <c r="G141" s="30" t="s">
        <v>233</v>
      </c>
      <c r="H141" s="31" t="s">
        <v>208</v>
      </c>
      <c r="I141" s="30"/>
      <c r="J141" s="30"/>
      <c r="K141" s="32"/>
    </row>
    <row r="142" spans="1:11" x14ac:dyDescent="0.3">
      <c r="A142" s="28"/>
      <c r="B142" s="29" t="s">
        <v>499</v>
      </c>
      <c r="C142" s="30" t="s">
        <v>500</v>
      </c>
      <c r="D142" s="30" t="s">
        <v>218</v>
      </c>
      <c r="E142" s="30" t="s">
        <v>212</v>
      </c>
      <c r="F142" s="30"/>
      <c r="G142" s="30" t="s">
        <v>207</v>
      </c>
      <c r="H142" s="31" t="s">
        <v>208</v>
      </c>
      <c r="I142" s="30"/>
      <c r="J142" s="30"/>
      <c r="K142" s="32"/>
    </row>
    <row r="143" spans="1:11" x14ac:dyDescent="0.3">
      <c r="A143" s="28"/>
      <c r="B143" s="29" t="s">
        <v>501</v>
      </c>
      <c r="C143" s="30" t="s">
        <v>502</v>
      </c>
      <c r="D143" s="30" t="s">
        <v>29</v>
      </c>
      <c r="E143" s="30" t="s">
        <v>212</v>
      </c>
      <c r="F143" s="30"/>
      <c r="G143" s="30" t="s">
        <v>207</v>
      </c>
      <c r="H143" s="31" t="s">
        <v>208</v>
      </c>
      <c r="I143" s="30"/>
      <c r="J143" s="30"/>
      <c r="K143" s="32"/>
    </row>
    <row r="144" spans="1:11" x14ac:dyDescent="0.3">
      <c r="A144" s="28"/>
      <c r="B144" s="29" t="s">
        <v>52</v>
      </c>
      <c r="C144" s="30" t="s">
        <v>503</v>
      </c>
      <c r="D144" s="30" t="s">
        <v>29</v>
      </c>
      <c r="E144" s="30" t="s">
        <v>206</v>
      </c>
      <c r="F144" s="30"/>
      <c r="G144" s="30" t="s">
        <v>207</v>
      </c>
      <c r="H144" s="31" t="s">
        <v>208</v>
      </c>
      <c r="I144" s="30"/>
      <c r="J144" s="30"/>
      <c r="K144" s="32"/>
    </row>
    <row r="145" spans="1:11" x14ac:dyDescent="0.3">
      <c r="A145" s="28"/>
      <c r="B145" s="29" t="s">
        <v>88</v>
      </c>
      <c r="C145" s="30" t="s">
        <v>504</v>
      </c>
      <c r="D145" s="30" t="s">
        <v>29</v>
      </c>
      <c r="E145" s="30" t="s">
        <v>206</v>
      </c>
      <c r="F145" s="30"/>
      <c r="G145" s="30" t="s">
        <v>207</v>
      </c>
      <c r="H145" s="31" t="s">
        <v>208</v>
      </c>
      <c r="I145" s="30"/>
      <c r="J145" s="30"/>
      <c r="K145" s="32"/>
    </row>
    <row r="146" spans="1:11" x14ac:dyDescent="0.3">
      <c r="A146" s="28"/>
      <c r="B146" s="29" t="s">
        <v>505</v>
      </c>
      <c r="C146" s="30" t="s">
        <v>506</v>
      </c>
      <c r="D146" s="30" t="s">
        <v>125</v>
      </c>
      <c r="E146" s="30" t="s">
        <v>224</v>
      </c>
      <c r="F146" s="30"/>
      <c r="G146" s="30" t="s">
        <v>207</v>
      </c>
      <c r="H146" s="31" t="s">
        <v>208</v>
      </c>
      <c r="I146" s="30"/>
      <c r="J146" s="30"/>
      <c r="K146" s="32"/>
    </row>
    <row r="147" spans="1:11" x14ac:dyDescent="0.3">
      <c r="A147" s="28"/>
      <c r="B147" s="29" t="s">
        <v>507</v>
      </c>
      <c r="C147" s="30" t="s">
        <v>508</v>
      </c>
      <c r="D147" s="30" t="s">
        <v>125</v>
      </c>
      <c r="E147" s="30" t="s">
        <v>224</v>
      </c>
      <c r="F147" s="30"/>
      <c r="G147" s="30" t="s">
        <v>207</v>
      </c>
      <c r="H147" s="31" t="s">
        <v>208</v>
      </c>
      <c r="I147" s="30"/>
      <c r="J147" s="30"/>
      <c r="K147" s="32"/>
    </row>
    <row r="148" spans="1:11" x14ac:dyDescent="0.3">
      <c r="A148" s="28"/>
      <c r="B148" s="29" t="s">
        <v>509</v>
      </c>
      <c r="C148" s="30" t="s">
        <v>510</v>
      </c>
      <c r="D148" s="30" t="s">
        <v>125</v>
      </c>
      <c r="E148" s="30" t="s">
        <v>224</v>
      </c>
      <c r="F148" s="30"/>
      <c r="G148" s="30" t="s">
        <v>227</v>
      </c>
      <c r="H148" s="33" t="s">
        <v>215</v>
      </c>
      <c r="I148" s="30"/>
      <c r="J148" s="30"/>
      <c r="K148" s="32"/>
    </row>
    <row r="149" spans="1:11" x14ac:dyDescent="0.3">
      <c r="A149" s="28"/>
      <c r="B149" s="29" t="s">
        <v>62</v>
      </c>
      <c r="C149" s="30" t="s">
        <v>511</v>
      </c>
      <c r="D149" s="30" t="s">
        <v>29</v>
      </c>
      <c r="E149" s="30" t="s">
        <v>206</v>
      </c>
      <c r="F149" s="30" t="s">
        <v>512</v>
      </c>
      <c r="G149" s="30" t="s">
        <v>207</v>
      </c>
      <c r="H149" s="31" t="s">
        <v>208</v>
      </c>
      <c r="I149" s="30"/>
      <c r="J149" s="30"/>
      <c r="K149" s="32"/>
    </row>
    <row r="150" spans="1:11" x14ac:dyDescent="0.3">
      <c r="A150" s="28"/>
      <c r="B150" s="29" t="s">
        <v>513</v>
      </c>
      <c r="C150" s="30" t="s">
        <v>514</v>
      </c>
      <c r="D150" s="30" t="s">
        <v>218</v>
      </c>
      <c r="E150" s="30" t="s">
        <v>212</v>
      </c>
      <c r="F150" s="30" t="s">
        <v>515</v>
      </c>
      <c r="G150" s="30" t="s">
        <v>233</v>
      </c>
      <c r="H150" s="31" t="s">
        <v>208</v>
      </c>
      <c r="I150" s="30"/>
      <c r="J150" s="30"/>
      <c r="K150" s="32"/>
    </row>
    <row r="151" spans="1:11" x14ac:dyDescent="0.3">
      <c r="A151" s="28"/>
      <c r="B151" s="29" t="s">
        <v>174</v>
      </c>
      <c r="C151" s="30" t="s">
        <v>175</v>
      </c>
      <c r="D151" s="30" t="s">
        <v>102</v>
      </c>
      <c r="E151" s="30" t="s">
        <v>206</v>
      </c>
      <c r="F151" s="30" t="s">
        <v>516</v>
      </c>
      <c r="G151" s="30" t="s">
        <v>379</v>
      </c>
      <c r="H151" s="33" t="s">
        <v>215</v>
      </c>
      <c r="I151" s="30"/>
      <c r="J151" s="30"/>
      <c r="K151" s="32"/>
    </row>
    <row r="152" spans="1:11" x14ac:dyDescent="0.3">
      <c r="A152" s="28"/>
      <c r="B152" s="29" t="s">
        <v>24</v>
      </c>
      <c r="C152" s="30" t="s">
        <v>517</v>
      </c>
      <c r="D152" s="30" t="s">
        <v>250</v>
      </c>
      <c r="E152" s="30" t="s">
        <v>206</v>
      </c>
      <c r="F152" s="30"/>
      <c r="G152" s="30" t="s">
        <v>207</v>
      </c>
      <c r="H152" s="31" t="s">
        <v>208</v>
      </c>
      <c r="I152" s="30"/>
      <c r="J152" s="30"/>
      <c r="K152" s="32"/>
    </row>
    <row r="153" spans="1:11" x14ac:dyDescent="0.3">
      <c r="A153" s="28"/>
      <c r="B153" s="29" t="s">
        <v>20</v>
      </c>
      <c r="C153" s="30" t="s">
        <v>518</v>
      </c>
      <c r="D153" s="30" t="s">
        <v>250</v>
      </c>
      <c r="E153" s="30" t="s">
        <v>206</v>
      </c>
      <c r="F153" s="30"/>
      <c r="G153" s="30" t="s">
        <v>207</v>
      </c>
      <c r="H153" s="31" t="s">
        <v>208</v>
      </c>
      <c r="I153" s="30"/>
      <c r="J153" s="30"/>
      <c r="K153" s="32"/>
    </row>
    <row r="154" spans="1:11" x14ac:dyDescent="0.3">
      <c r="A154" s="28"/>
      <c r="B154" s="29" t="s">
        <v>519</v>
      </c>
      <c r="C154" s="30" t="s">
        <v>520</v>
      </c>
      <c r="D154" s="30" t="s">
        <v>125</v>
      </c>
      <c r="E154" s="30" t="s">
        <v>224</v>
      </c>
      <c r="F154" s="30"/>
      <c r="G154" s="30" t="s">
        <v>207</v>
      </c>
      <c r="H154" s="31" t="s">
        <v>208</v>
      </c>
      <c r="I154" s="30"/>
      <c r="J154" s="30"/>
      <c r="K154" s="32"/>
    </row>
    <row r="155" spans="1:11" x14ac:dyDescent="0.3">
      <c r="A155" s="28"/>
      <c r="B155" s="29" t="s">
        <v>60</v>
      </c>
      <c r="C155" s="30" t="s">
        <v>521</v>
      </c>
      <c r="D155" s="30" t="s">
        <v>29</v>
      </c>
      <c r="E155" s="30" t="s">
        <v>206</v>
      </c>
      <c r="F155" s="30" t="s">
        <v>522</v>
      </c>
      <c r="G155" s="30" t="s">
        <v>207</v>
      </c>
      <c r="H155" s="31" t="s">
        <v>208</v>
      </c>
      <c r="I155" s="30"/>
      <c r="J155" s="30"/>
      <c r="K155" s="32"/>
    </row>
    <row r="156" spans="1:11" x14ac:dyDescent="0.3">
      <c r="A156" s="28"/>
      <c r="B156" s="29" t="s">
        <v>32</v>
      </c>
      <c r="C156" s="30" t="s">
        <v>523</v>
      </c>
      <c r="D156" s="30" t="s">
        <v>29</v>
      </c>
      <c r="E156" s="30" t="s">
        <v>206</v>
      </c>
      <c r="F156" s="30"/>
      <c r="G156" s="30" t="s">
        <v>207</v>
      </c>
      <c r="H156" s="31" t="s">
        <v>208</v>
      </c>
      <c r="I156" s="30"/>
      <c r="J156" s="30"/>
      <c r="K156" s="32"/>
    </row>
    <row r="157" spans="1:11" x14ac:dyDescent="0.3">
      <c r="A157" s="28"/>
      <c r="B157" s="29" t="s">
        <v>524</v>
      </c>
      <c r="C157" s="30" t="s">
        <v>525</v>
      </c>
      <c r="D157" s="30" t="s">
        <v>125</v>
      </c>
      <c r="E157" s="30" t="s">
        <v>224</v>
      </c>
      <c r="F157" s="30"/>
      <c r="G157" s="30" t="s">
        <v>207</v>
      </c>
      <c r="H157" s="31" t="s">
        <v>208</v>
      </c>
      <c r="I157" s="30"/>
      <c r="J157" s="30"/>
      <c r="K157" s="32"/>
    </row>
    <row r="158" spans="1:11" x14ac:dyDescent="0.3">
      <c r="A158" s="28"/>
      <c r="B158" s="29" t="s">
        <v>526</v>
      </c>
      <c r="C158" s="30" t="s">
        <v>527</v>
      </c>
      <c r="D158" s="30" t="s">
        <v>125</v>
      </c>
      <c r="E158" s="30" t="s">
        <v>224</v>
      </c>
      <c r="F158" s="30" t="s">
        <v>232</v>
      </c>
      <c r="G158" s="30" t="s">
        <v>233</v>
      </c>
      <c r="H158" s="31" t="s">
        <v>208</v>
      </c>
      <c r="I158" s="30"/>
      <c r="J158" s="30"/>
      <c r="K158" s="32"/>
    </row>
    <row r="159" spans="1:11" x14ac:dyDescent="0.3">
      <c r="A159" s="28"/>
      <c r="B159" s="29" t="s">
        <v>528</v>
      </c>
      <c r="C159" s="30" t="s">
        <v>529</v>
      </c>
      <c r="D159" s="30" t="s">
        <v>29</v>
      </c>
      <c r="E159" s="30" t="s">
        <v>206</v>
      </c>
      <c r="F159" s="30" t="s">
        <v>530</v>
      </c>
      <c r="G159" s="30" t="s">
        <v>253</v>
      </c>
      <c r="H159" s="31" t="s">
        <v>208</v>
      </c>
      <c r="I159" s="30"/>
      <c r="J159" s="30"/>
      <c r="K159" s="32"/>
    </row>
    <row r="160" spans="1:11" x14ac:dyDescent="0.3">
      <c r="A160" s="28"/>
      <c r="B160" s="29" t="s">
        <v>192</v>
      </c>
      <c r="C160" s="30" t="s">
        <v>531</v>
      </c>
      <c r="D160" s="30" t="s">
        <v>29</v>
      </c>
      <c r="E160" s="30" t="s">
        <v>206</v>
      </c>
      <c r="F160" s="30" t="s">
        <v>532</v>
      </c>
      <c r="G160" s="30" t="s">
        <v>214</v>
      </c>
      <c r="H160" s="33" t="s">
        <v>215</v>
      </c>
      <c r="I160" s="30"/>
      <c r="J160" s="30"/>
      <c r="K160" s="32"/>
    </row>
    <row r="161" spans="1:11" x14ac:dyDescent="0.3">
      <c r="A161" s="28"/>
      <c r="B161" s="29" t="s">
        <v>533</v>
      </c>
      <c r="C161" s="30" t="s">
        <v>534</v>
      </c>
      <c r="D161" s="30" t="s">
        <v>125</v>
      </c>
      <c r="E161" s="30" t="s">
        <v>206</v>
      </c>
      <c r="F161" s="30"/>
      <c r="G161" s="30" t="s">
        <v>207</v>
      </c>
      <c r="H161" s="31" t="s">
        <v>208</v>
      </c>
      <c r="I161" s="30"/>
      <c r="J161" s="30"/>
      <c r="K161" s="32"/>
    </row>
    <row r="162" spans="1:11" x14ac:dyDescent="0.3">
      <c r="A162" s="28"/>
      <c r="B162" s="29" t="s">
        <v>535</v>
      </c>
      <c r="C162" s="30" t="s">
        <v>536</v>
      </c>
      <c r="D162" s="30" t="s">
        <v>125</v>
      </c>
      <c r="E162" s="30" t="s">
        <v>224</v>
      </c>
      <c r="F162" s="30"/>
      <c r="G162" s="30" t="s">
        <v>159</v>
      </c>
      <c r="H162" s="33" t="s">
        <v>215</v>
      </c>
      <c r="I162" s="30"/>
      <c r="J162" s="30"/>
      <c r="K162" s="32"/>
    </row>
    <row r="163" spans="1:11" x14ac:dyDescent="0.3">
      <c r="A163" s="28"/>
      <c r="B163" s="29" t="s">
        <v>186</v>
      </c>
      <c r="C163" s="30" t="s">
        <v>537</v>
      </c>
      <c r="D163" s="30" t="s">
        <v>29</v>
      </c>
      <c r="E163" s="30" t="s">
        <v>206</v>
      </c>
      <c r="F163" s="30"/>
      <c r="G163" s="30" t="s">
        <v>227</v>
      </c>
      <c r="H163" s="33" t="s">
        <v>215</v>
      </c>
      <c r="I163" s="30"/>
      <c r="J163" s="30"/>
      <c r="K163" s="32"/>
    </row>
    <row r="164" spans="1:11" x14ac:dyDescent="0.3">
      <c r="A164" s="28"/>
      <c r="B164" s="29" t="s">
        <v>538</v>
      </c>
      <c r="C164" s="30" t="s">
        <v>539</v>
      </c>
      <c r="D164" s="30" t="s">
        <v>125</v>
      </c>
      <c r="E164" s="30" t="s">
        <v>206</v>
      </c>
      <c r="F164" s="30"/>
      <c r="G164" s="30" t="s">
        <v>207</v>
      </c>
      <c r="H164" s="31" t="s">
        <v>208</v>
      </c>
      <c r="I164" s="30"/>
      <c r="J164" s="30"/>
      <c r="K164" s="32"/>
    </row>
    <row r="165" spans="1:11" x14ac:dyDescent="0.3">
      <c r="A165" s="28"/>
      <c r="B165" s="29" t="s">
        <v>540</v>
      </c>
      <c r="C165" s="30" t="s">
        <v>541</v>
      </c>
      <c r="D165" s="30" t="s">
        <v>125</v>
      </c>
      <c r="E165" s="30" t="s">
        <v>224</v>
      </c>
      <c r="F165" s="30"/>
      <c r="G165" s="30" t="s">
        <v>207</v>
      </c>
      <c r="H165" s="31" t="s">
        <v>208</v>
      </c>
      <c r="I165" s="30"/>
      <c r="J165" s="30"/>
      <c r="K165" s="32"/>
    </row>
    <row r="166" spans="1:11" x14ac:dyDescent="0.3">
      <c r="A166" s="28"/>
      <c r="B166" s="29" t="s">
        <v>542</v>
      </c>
      <c r="C166" s="30" t="s">
        <v>543</v>
      </c>
      <c r="D166" s="30" t="s">
        <v>125</v>
      </c>
      <c r="E166" s="30" t="s">
        <v>224</v>
      </c>
      <c r="F166" s="30"/>
      <c r="G166" s="30" t="s">
        <v>227</v>
      </c>
      <c r="H166" s="33" t="s">
        <v>215</v>
      </c>
      <c r="I166" s="30"/>
      <c r="J166" s="30"/>
      <c r="K166" s="32"/>
    </row>
    <row r="167" spans="1:11" x14ac:dyDescent="0.3">
      <c r="A167" s="28"/>
      <c r="B167" s="29" t="s">
        <v>544</v>
      </c>
      <c r="C167" s="30" t="s">
        <v>545</v>
      </c>
      <c r="D167" s="30" t="s">
        <v>125</v>
      </c>
      <c r="E167" s="30" t="s">
        <v>224</v>
      </c>
      <c r="F167" s="30"/>
      <c r="G167" s="30" t="s">
        <v>207</v>
      </c>
      <c r="H167" s="31" t="s">
        <v>208</v>
      </c>
      <c r="I167" s="30"/>
      <c r="J167" s="30"/>
      <c r="K167" s="32"/>
    </row>
    <row r="168" spans="1:11" x14ac:dyDescent="0.3">
      <c r="A168" s="28"/>
      <c r="B168" s="29" t="s">
        <v>53</v>
      </c>
      <c r="C168" s="30" t="s">
        <v>1202</v>
      </c>
      <c r="D168" s="30" t="s">
        <v>29</v>
      </c>
      <c r="E168" s="30" t="s">
        <v>206</v>
      </c>
      <c r="F168" s="30"/>
      <c r="G168" s="30" t="s">
        <v>207</v>
      </c>
      <c r="H168" s="31" t="s">
        <v>208</v>
      </c>
      <c r="I168" s="30"/>
      <c r="J168" s="30"/>
      <c r="K168" s="32"/>
    </row>
    <row r="169" spans="1:11" x14ac:dyDescent="0.3">
      <c r="A169" s="28"/>
      <c r="B169" s="29" t="s">
        <v>546</v>
      </c>
      <c r="C169" s="30" t="s">
        <v>547</v>
      </c>
      <c r="D169" s="30" t="s">
        <v>102</v>
      </c>
      <c r="E169" s="30" t="s">
        <v>212</v>
      </c>
      <c r="F169" s="30"/>
      <c r="G169" s="30" t="s">
        <v>227</v>
      </c>
      <c r="H169" s="33" t="s">
        <v>215</v>
      </c>
      <c r="I169" s="30"/>
      <c r="J169" s="30"/>
      <c r="K169" s="32"/>
    </row>
    <row r="170" spans="1:11" x14ac:dyDescent="0.3">
      <c r="A170" s="28"/>
      <c r="B170" s="29" t="s">
        <v>548</v>
      </c>
      <c r="C170" s="30" t="s">
        <v>549</v>
      </c>
      <c r="D170" s="30" t="s">
        <v>125</v>
      </c>
      <c r="E170" s="30" t="s">
        <v>206</v>
      </c>
      <c r="F170" s="30"/>
      <c r="G170" s="30" t="s">
        <v>207</v>
      </c>
      <c r="H170" s="31" t="s">
        <v>208</v>
      </c>
      <c r="I170" s="30"/>
      <c r="J170" s="30"/>
      <c r="K170" s="32"/>
    </row>
    <row r="171" spans="1:11" x14ac:dyDescent="0.3">
      <c r="A171" s="28"/>
      <c r="B171" s="29" t="s">
        <v>550</v>
      </c>
      <c r="C171" s="30" t="s">
        <v>551</v>
      </c>
      <c r="D171" s="30" t="s">
        <v>125</v>
      </c>
      <c r="E171" s="30" t="s">
        <v>224</v>
      </c>
      <c r="F171" s="30"/>
      <c r="G171" s="30" t="s">
        <v>159</v>
      </c>
      <c r="H171" s="33" t="s">
        <v>215</v>
      </c>
      <c r="I171" s="30"/>
      <c r="J171" s="30"/>
      <c r="K171" s="32"/>
    </row>
    <row r="172" spans="1:11" x14ac:dyDescent="0.3">
      <c r="A172" s="28"/>
      <c r="B172" s="29" t="s">
        <v>552</v>
      </c>
      <c r="C172" s="30" t="s">
        <v>553</v>
      </c>
      <c r="D172" s="30" t="s">
        <v>29</v>
      </c>
      <c r="E172" s="30" t="s">
        <v>206</v>
      </c>
      <c r="F172" s="30"/>
      <c r="G172" s="30" t="s">
        <v>207</v>
      </c>
      <c r="H172" s="31" t="s">
        <v>208</v>
      </c>
      <c r="I172" s="30"/>
      <c r="J172" s="30"/>
      <c r="K172" s="32"/>
    </row>
    <row r="173" spans="1:11" x14ac:dyDescent="0.3">
      <c r="A173" s="28"/>
      <c r="B173" s="29" t="s">
        <v>554</v>
      </c>
      <c r="C173" s="30" t="s">
        <v>555</v>
      </c>
      <c r="D173" s="30" t="s">
        <v>125</v>
      </c>
      <c r="E173" s="30" t="s">
        <v>224</v>
      </c>
      <c r="F173" s="30"/>
      <c r="G173" s="30" t="s">
        <v>207</v>
      </c>
      <c r="H173" s="31" t="s">
        <v>208</v>
      </c>
      <c r="I173" s="30"/>
      <c r="J173" s="30"/>
      <c r="K173" s="32"/>
    </row>
    <row r="174" spans="1:11" x14ac:dyDescent="0.3">
      <c r="A174" s="28"/>
      <c r="B174" s="29" t="s">
        <v>141</v>
      </c>
      <c r="C174" s="30" t="s">
        <v>556</v>
      </c>
      <c r="D174" s="30" t="s">
        <v>29</v>
      </c>
      <c r="E174" s="30" t="s">
        <v>206</v>
      </c>
      <c r="F174" s="30" t="s">
        <v>557</v>
      </c>
      <c r="G174" s="30" t="s">
        <v>253</v>
      </c>
      <c r="H174" s="31" t="s">
        <v>208</v>
      </c>
      <c r="I174" s="30"/>
      <c r="J174" s="30"/>
      <c r="K174" s="32"/>
    </row>
    <row r="175" spans="1:11" x14ac:dyDescent="0.3">
      <c r="A175" s="28"/>
      <c r="B175" s="29" t="s">
        <v>112</v>
      </c>
      <c r="C175" s="30" t="s">
        <v>558</v>
      </c>
      <c r="D175" s="30" t="s">
        <v>102</v>
      </c>
      <c r="E175" s="30" t="s">
        <v>206</v>
      </c>
      <c r="F175" s="30"/>
      <c r="G175" s="30" t="s">
        <v>207</v>
      </c>
      <c r="H175" s="31" t="s">
        <v>208</v>
      </c>
      <c r="I175" s="30"/>
      <c r="J175" s="30"/>
      <c r="K175" s="32"/>
    </row>
    <row r="176" spans="1:11" x14ac:dyDescent="0.3">
      <c r="A176" s="28"/>
      <c r="B176" s="29" t="s">
        <v>559</v>
      </c>
      <c r="C176" s="30" t="s">
        <v>560</v>
      </c>
      <c r="D176" s="30" t="s">
        <v>218</v>
      </c>
      <c r="E176" s="30" t="s">
        <v>212</v>
      </c>
      <c r="F176" s="30"/>
      <c r="G176" s="30" t="s">
        <v>207</v>
      </c>
      <c r="H176" s="31" t="s">
        <v>208</v>
      </c>
      <c r="I176" s="30"/>
      <c r="J176" s="30"/>
      <c r="K176" s="32"/>
    </row>
    <row r="177" spans="1:11" x14ac:dyDescent="0.3">
      <c r="A177" s="28"/>
      <c r="B177" s="29" t="s">
        <v>561</v>
      </c>
      <c r="C177" s="30" t="s">
        <v>562</v>
      </c>
      <c r="D177" s="30" t="s">
        <v>125</v>
      </c>
      <c r="E177" s="30" t="s">
        <v>206</v>
      </c>
      <c r="F177" s="30" t="s">
        <v>563</v>
      </c>
      <c r="G177" s="30" t="s">
        <v>269</v>
      </c>
      <c r="H177" s="33" t="s">
        <v>215</v>
      </c>
      <c r="I177" s="30"/>
      <c r="J177" s="30"/>
      <c r="K177" s="32"/>
    </row>
    <row r="178" spans="1:11" x14ac:dyDescent="0.3">
      <c r="A178" s="28"/>
      <c r="B178" s="29" t="s">
        <v>564</v>
      </c>
      <c r="C178" s="30" t="s">
        <v>565</v>
      </c>
      <c r="D178" s="30" t="s">
        <v>125</v>
      </c>
      <c r="E178" s="30" t="s">
        <v>224</v>
      </c>
      <c r="F178" s="30"/>
      <c r="G178" s="30" t="s">
        <v>227</v>
      </c>
      <c r="H178" s="33" t="s">
        <v>215</v>
      </c>
      <c r="I178" s="30"/>
      <c r="J178" s="30"/>
      <c r="K178" s="32"/>
    </row>
    <row r="179" spans="1:11" x14ac:dyDescent="0.3">
      <c r="A179" s="28"/>
      <c r="B179" s="29" t="s">
        <v>38</v>
      </c>
      <c r="C179" s="30" t="s">
        <v>566</v>
      </c>
      <c r="D179" s="30" t="s">
        <v>29</v>
      </c>
      <c r="E179" s="30" t="s">
        <v>206</v>
      </c>
      <c r="F179" s="30"/>
      <c r="G179" s="30" t="s">
        <v>207</v>
      </c>
      <c r="H179" s="31" t="s">
        <v>208</v>
      </c>
      <c r="I179" s="30"/>
      <c r="J179" s="30"/>
      <c r="K179" s="32"/>
    </row>
    <row r="180" spans="1:11" x14ac:dyDescent="0.3">
      <c r="A180" s="28"/>
      <c r="B180" s="29" t="s">
        <v>567</v>
      </c>
      <c r="C180" s="30" t="s">
        <v>568</v>
      </c>
      <c r="D180" s="30" t="s">
        <v>125</v>
      </c>
      <c r="E180" s="30" t="s">
        <v>224</v>
      </c>
      <c r="F180" s="30"/>
      <c r="G180" s="30" t="s">
        <v>227</v>
      </c>
      <c r="H180" s="33" t="s">
        <v>215</v>
      </c>
      <c r="I180" s="30"/>
      <c r="J180" s="30"/>
      <c r="K180" s="32"/>
    </row>
    <row r="181" spans="1:11" x14ac:dyDescent="0.3">
      <c r="A181" s="28"/>
      <c r="B181" s="29" t="s">
        <v>569</v>
      </c>
      <c r="C181" s="30" t="s">
        <v>570</v>
      </c>
      <c r="D181" s="30" t="s">
        <v>29</v>
      </c>
      <c r="E181" s="30" t="s">
        <v>206</v>
      </c>
      <c r="F181" s="30"/>
      <c r="G181" s="30" t="s">
        <v>207</v>
      </c>
      <c r="H181" s="31" t="s">
        <v>208</v>
      </c>
      <c r="I181" s="30"/>
      <c r="J181" s="30"/>
      <c r="K181" s="32"/>
    </row>
    <row r="182" spans="1:11" x14ac:dyDescent="0.3">
      <c r="A182" s="28"/>
      <c r="B182" s="29" t="s">
        <v>571</v>
      </c>
      <c r="C182" s="30" t="s">
        <v>572</v>
      </c>
      <c r="D182" s="30" t="s">
        <v>125</v>
      </c>
      <c r="E182" s="30" t="s">
        <v>224</v>
      </c>
      <c r="F182" s="30"/>
      <c r="G182" s="30" t="s">
        <v>227</v>
      </c>
      <c r="H182" s="33" t="s">
        <v>215</v>
      </c>
      <c r="I182" s="30"/>
      <c r="J182" s="30"/>
      <c r="K182" s="32"/>
    </row>
    <row r="183" spans="1:11" x14ac:dyDescent="0.3">
      <c r="A183" s="28"/>
      <c r="B183" s="29" t="s">
        <v>573</v>
      </c>
      <c r="C183" s="30" t="s">
        <v>574</v>
      </c>
      <c r="D183" s="30" t="s">
        <v>125</v>
      </c>
      <c r="E183" s="30" t="s">
        <v>224</v>
      </c>
      <c r="F183" s="30"/>
      <c r="G183" s="30" t="s">
        <v>227</v>
      </c>
      <c r="H183" s="33" t="s">
        <v>215</v>
      </c>
      <c r="I183" s="30"/>
      <c r="J183" s="30"/>
      <c r="K183" s="32"/>
    </row>
    <row r="184" spans="1:11" x14ac:dyDescent="0.3">
      <c r="A184" s="28"/>
      <c r="B184" s="29" t="s">
        <v>150</v>
      </c>
      <c r="C184" s="30" t="s">
        <v>575</v>
      </c>
      <c r="D184" s="30" t="s">
        <v>27</v>
      </c>
      <c r="E184" s="30" t="s">
        <v>206</v>
      </c>
      <c r="F184" s="30" t="s">
        <v>576</v>
      </c>
      <c r="G184" s="30" t="s">
        <v>159</v>
      </c>
      <c r="H184" s="33" t="s">
        <v>215</v>
      </c>
      <c r="I184" s="30"/>
      <c r="J184" s="30"/>
      <c r="K184" s="32"/>
    </row>
    <row r="185" spans="1:11" x14ac:dyDescent="0.3">
      <c r="A185" s="28"/>
      <c r="B185" s="29" t="s">
        <v>144</v>
      </c>
      <c r="C185" s="30" t="s">
        <v>577</v>
      </c>
      <c r="D185" s="30" t="s">
        <v>29</v>
      </c>
      <c r="E185" s="30" t="s">
        <v>212</v>
      </c>
      <c r="F185" s="30" t="s">
        <v>578</v>
      </c>
      <c r="G185" s="30" t="s">
        <v>285</v>
      </c>
      <c r="H185" s="31" t="s">
        <v>208</v>
      </c>
      <c r="I185" s="30"/>
      <c r="J185" s="30"/>
      <c r="K185" s="32"/>
    </row>
    <row r="186" spans="1:11" x14ac:dyDescent="0.3">
      <c r="A186" s="28"/>
      <c r="B186" s="29" t="s">
        <v>1197</v>
      </c>
      <c r="C186" s="30" t="s">
        <v>1198</v>
      </c>
      <c r="D186" s="30" t="s">
        <v>29</v>
      </c>
      <c r="E186" s="30" t="s">
        <v>206</v>
      </c>
      <c r="F186" s="30" t="s">
        <v>1199</v>
      </c>
      <c r="G186" s="30" t="s">
        <v>269</v>
      </c>
      <c r="H186" s="31" t="s">
        <v>215</v>
      </c>
      <c r="I186" s="30"/>
      <c r="J186" s="30"/>
      <c r="K186" s="32"/>
    </row>
    <row r="187" spans="1:11" x14ac:dyDescent="0.3">
      <c r="A187" s="28"/>
      <c r="B187" s="29" t="s">
        <v>579</v>
      </c>
      <c r="C187" s="30" t="s">
        <v>580</v>
      </c>
      <c r="D187" s="30" t="s">
        <v>29</v>
      </c>
      <c r="E187" s="30" t="s">
        <v>206</v>
      </c>
      <c r="F187" s="30" t="s">
        <v>581</v>
      </c>
      <c r="G187" s="30" t="s">
        <v>379</v>
      </c>
      <c r="H187" s="33" t="s">
        <v>215</v>
      </c>
      <c r="I187" s="30"/>
      <c r="J187" s="30"/>
      <c r="K187" s="32"/>
    </row>
    <row r="188" spans="1:11" x14ac:dyDescent="0.3">
      <c r="A188" s="28"/>
      <c r="B188" s="29" t="s">
        <v>582</v>
      </c>
      <c r="C188" s="30" t="s">
        <v>583</v>
      </c>
      <c r="D188" s="30" t="s">
        <v>125</v>
      </c>
      <c r="E188" s="30" t="s">
        <v>224</v>
      </c>
      <c r="F188" s="30"/>
      <c r="G188" s="30" t="s">
        <v>207</v>
      </c>
      <c r="H188" s="31" t="s">
        <v>208</v>
      </c>
      <c r="I188" s="30"/>
      <c r="J188" s="30"/>
      <c r="K188" s="32"/>
    </row>
    <row r="189" spans="1:11" x14ac:dyDescent="0.3">
      <c r="A189" s="28"/>
      <c r="B189" s="29" t="s">
        <v>584</v>
      </c>
      <c r="C189" s="30" t="s">
        <v>585</v>
      </c>
      <c r="D189" s="30" t="s">
        <v>218</v>
      </c>
      <c r="E189" s="30" t="s">
        <v>212</v>
      </c>
      <c r="F189" s="30"/>
      <c r="G189" s="30" t="s">
        <v>207</v>
      </c>
      <c r="H189" s="31" t="s">
        <v>208</v>
      </c>
      <c r="I189" s="30"/>
      <c r="J189" s="30"/>
      <c r="K189" s="32"/>
    </row>
    <row r="190" spans="1:11" x14ac:dyDescent="0.3">
      <c r="A190" s="28"/>
      <c r="B190" s="29" t="s">
        <v>586</v>
      </c>
      <c r="C190" s="30" t="s">
        <v>587</v>
      </c>
      <c r="D190" s="30" t="s">
        <v>125</v>
      </c>
      <c r="E190" s="30" t="s">
        <v>224</v>
      </c>
      <c r="F190" s="30"/>
      <c r="G190" s="30" t="s">
        <v>207</v>
      </c>
      <c r="H190" s="31" t="s">
        <v>208</v>
      </c>
      <c r="I190" s="30"/>
      <c r="J190" s="30"/>
      <c r="K190" s="32"/>
    </row>
    <row r="191" spans="1:11" x14ac:dyDescent="0.3">
      <c r="A191" s="28"/>
      <c r="B191" s="29" t="s">
        <v>588</v>
      </c>
      <c r="C191" s="30" t="s">
        <v>589</v>
      </c>
      <c r="D191" s="30" t="s">
        <v>125</v>
      </c>
      <c r="E191" s="30" t="s">
        <v>224</v>
      </c>
      <c r="F191" s="30"/>
      <c r="G191" s="30" t="s">
        <v>159</v>
      </c>
      <c r="H191" s="33" t="s">
        <v>215</v>
      </c>
      <c r="I191" s="30"/>
      <c r="J191" s="30"/>
      <c r="K191" s="32"/>
    </row>
    <row r="192" spans="1:11" x14ac:dyDescent="0.3">
      <c r="A192" s="28"/>
      <c r="B192" s="29" t="s">
        <v>590</v>
      </c>
      <c r="C192" s="30" t="s">
        <v>591</v>
      </c>
      <c r="D192" s="30" t="s">
        <v>218</v>
      </c>
      <c r="E192" s="30" t="s">
        <v>212</v>
      </c>
      <c r="F192" s="30"/>
      <c r="G192" s="30" t="s">
        <v>207</v>
      </c>
      <c r="H192" s="31" t="s">
        <v>208</v>
      </c>
      <c r="I192" s="30"/>
      <c r="J192" s="30"/>
      <c r="K192" s="32"/>
    </row>
    <row r="193" spans="1:11" x14ac:dyDescent="0.3">
      <c r="A193" s="28"/>
      <c r="B193" s="29" t="s">
        <v>592</v>
      </c>
      <c r="C193" s="30" t="s">
        <v>593</v>
      </c>
      <c r="D193" s="30" t="s">
        <v>274</v>
      </c>
      <c r="E193" s="30" t="s">
        <v>212</v>
      </c>
      <c r="F193" s="30" t="s">
        <v>275</v>
      </c>
      <c r="G193" s="30" t="s">
        <v>207</v>
      </c>
      <c r="H193" s="31" t="s">
        <v>208</v>
      </c>
      <c r="I193" s="30"/>
      <c r="J193" s="30"/>
      <c r="K193" s="32"/>
    </row>
    <row r="194" spans="1:11" x14ac:dyDescent="0.3">
      <c r="A194" s="28"/>
      <c r="B194" s="29" t="s">
        <v>594</v>
      </c>
      <c r="C194" s="30" t="s">
        <v>595</v>
      </c>
      <c r="D194" s="30" t="s">
        <v>218</v>
      </c>
      <c r="E194" s="30" t="s">
        <v>212</v>
      </c>
      <c r="F194" s="30" t="s">
        <v>596</v>
      </c>
      <c r="G194" s="30" t="s">
        <v>214</v>
      </c>
      <c r="H194" s="33" t="s">
        <v>215</v>
      </c>
      <c r="I194" s="30"/>
      <c r="J194" s="30"/>
      <c r="K194" s="32"/>
    </row>
    <row r="195" spans="1:11" x14ac:dyDescent="0.3">
      <c r="A195" s="28"/>
      <c r="B195" s="29" t="s">
        <v>160</v>
      </c>
      <c r="C195" s="30" t="s">
        <v>597</v>
      </c>
      <c r="D195" s="30" t="s">
        <v>29</v>
      </c>
      <c r="E195" s="30" t="s">
        <v>206</v>
      </c>
      <c r="F195" s="30" t="s">
        <v>447</v>
      </c>
      <c r="G195" s="30" t="s">
        <v>159</v>
      </c>
      <c r="H195" s="33" t="s">
        <v>215</v>
      </c>
      <c r="I195" s="30"/>
      <c r="J195" s="30"/>
      <c r="K195" s="32"/>
    </row>
    <row r="196" spans="1:11" x14ac:dyDescent="0.3">
      <c r="A196" s="28"/>
      <c r="B196" s="29" t="s">
        <v>598</v>
      </c>
      <c r="C196" s="30" t="s">
        <v>599</v>
      </c>
      <c r="D196" s="30" t="s">
        <v>125</v>
      </c>
      <c r="E196" s="30" t="s">
        <v>224</v>
      </c>
      <c r="F196" s="30"/>
      <c r="G196" s="30" t="s">
        <v>207</v>
      </c>
      <c r="H196" s="31" t="s">
        <v>208</v>
      </c>
      <c r="I196" s="30"/>
      <c r="J196" s="30"/>
      <c r="K196" s="32"/>
    </row>
    <row r="197" spans="1:11" x14ac:dyDescent="0.3">
      <c r="A197" s="28"/>
      <c r="B197" s="29" t="s">
        <v>600</v>
      </c>
      <c r="C197" s="30" t="s">
        <v>601</v>
      </c>
      <c r="D197" s="30" t="s">
        <v>125</v>
      </c>
      <c r="E197" s="30" t="s">
        <v>224</v>
      </c>
      <c r="F197" s="30" t="s">
        <v>232</v>
      </c>
      <c r="G197" s="30" t="s">
        <v>233</v>
      </c>
      <c r="H197" s="31" t="s">
        <v>208</v>
      </c>
      <c r="I197" s="30"/>
      <c r="J197" s="30"/>
      <c r="K197" s="32"/>
    </row>
    <row r="198" spans="1:11" x14ac:dyDescent="0.3">
      <c r="A198" s="28"/>
      <c r="B198" s="29" t="s">
        <v>162</v>
      </c>
      <c r="C198" s="30" t="s">
        <v>602</v>
      </c>
      <c r="D198" s="30" t="s">
        <v>29</v>
      </c>
      <c r="E198" s="30" t="s">
        <v>206</v>
      </c>
      <c r="F198" s="30" t="s">
        <v>603</v>
      </c>
      <c r="G198" s="30" t="s">
        <v>159</v>
      </c>
      <c r="H198" s="33" t="s">
        <v>215</v>
      </c>
      <c r="I198" s="30"/>
      <c r="J198" s="30"/>
      <c r="K198" s="32"/>
    </row>
    <row r="199" spans="1:11" x14ac:dyDescent="0.3">
      <c r="A199" s="28"/>
      <c r="B199" s="29" t="s">
        <v>171</v>
      </c>
      <c r="C199" s="30" t="s">
        <v>604</v>
      </c>
      <c r="D199" s="30" t="s">
        <v>29</v>
      </c>
      <c r="E199" s="30" t="s">
        <v>206</v>
      </c>
      <c r="F199" s="30" t="s">
        <v>605</v>
      </c>
      <c r="G199" s="30" t="s">
        <v>379</v>
      </c>
      <c r="H199" s="33" t="s">
        <v>215</v>
      </c>
      <c r="I199" s="30"/>
      <c r="J199" s="30"/>
      <c r="K199" s="32"/>
    </row>
    <row r="200" spans="1:11" x14ac:dyDescent="0.3">
      <c r="A200" s="28"/>
      <c r="B200" s="29" t="s">
        <v>606</v>
      </c>
      <c r="C200" s="30" t="s">
        <v>607</v>
      </c>
      <c r="D200" s="30" t="s">
        <v>125</v>
      </c>
      <c r="E200" s="30" t="s">
        <v>224</v>
      </c>
      <c r="F200" s="30"/>
      <c r="G200" s="30" t="s">
        <v>207</v>
      </c>
      <c r="H200" s="31" t="s">
        <v>208</v>
      </c>
      <c r="I200" s="30"/>
      <c r="J200" s="30"/>
      <c r="K200" s="32"/>
    </row>
    <row r="201" spans="1:11" x14ac:dyDescent="0.3">
      <c r="A201" s="28"/>
      <c r="B201" s="29" t="s">
        <v>608</v>
      </c>
      <c r="C201" s="30" t="s">
        <v>609</v>
      </c>
      <c r="D201" s="30" t="s">
        <v>274</v>
      </c>
      <c r="E201" s="30" t="s">
        <v>212</v>
      </c>
      <c r="F201" s="30"/>
      <c r="G201" s="30" t="s">
        <v>207</v>
      </c>
      <c r="H201" s="31" t="s">
        <v>208</v>
      </c>
      <c r="I201" s="30"/>
      <c r="J201" s="30"/>
      <c r="K201" s="32"/>
    </row>
    <row r="202" spans="1:11" x14ac:dyDescent="0.3">
      <c r="A202" s="28"/>
      <c r="B202" s="29" t="s">
        <v>610</v>
      </c>
      <c r="C202" s="30" t="s">
        <v>611</v>
      </c>
      <c r="D202" s="30" t="s">
        <v>218</v>
      </c>
      <c r="E202" s="30" t="s">
        <v>212</v>
      </c>
      <c r="F202" s="30"/>
      <c r="G202" s="30" t="s">
        <v>227</v>
      </c>
      <c r="H202" s="33" t="s">
        <v>215</v>
      </c>
      <c r="I202" s="30"/>
      <c r="J202" s="30"/>
      <c r="K202" s="32"/>
    </row>
    <row r="203" spans="1:11" x14ac:dyDescent="0.3">
      <c r="A203" s="28"/>
      <c r="B203" s="29" t="s">
        <v>612</v>
      </c>
      <c r="C203" s="30" t="s">
        <v>613</v>
      </c>
      <c r="D203" s="30" t="s">
        <v>125</v>
      </c>
      <c r="E203" s="30" t="s">
        <v>224</v>
      </c>
      <c r="F203" s="30"/>
      <c r="G203" s="30" t="s">
        <v>227</v>
      </c>
      <c r="H203" s="33" t="s">
        <v>215</v>
      </c>
      <c r="I203" s="30"/>
      <c r="J203" s="30"/>
      <c r="K203" s="32"/>
    </row>
    <row r="204" spans="1:11" x14ac:dyDescent="0.3">
      <c r="A204" s="28"/>
      <c r="B204" s="29" t="s">
        <v>614</v>
      </c>
      <c r="C204" s="30" t="s">
        <v>615</v>
      </c>
      <c r="D204" s="30" t="s">
        <v>29</v>
      </c>
      <c r="E204" s="30" t="s">
        <v>206</v>
      </c>
      <c r="F204" s="30"/>
      <c r="G204" s="30" t="s">
        <v>207</v>
      </c>
      <c r="H204" s="31" t="s">
        <v>208</v>
      </c>
      <c r="I204" s="30"/>
      <c r="J204" s="30"/>
      <c r="K204" s="32"/>
    </row>
    <row r="205" spans="1:11" x14ac:dyDescent="0.3">
      <c r="A205" s="28"/>
      <c r="B205" s="29" t="s">
        <v>616</v>
      </c>
      <c r="C205" s="30" t="s">
        <v>617</v>
      </c>
      <c r="D205" s="30" t="s">
        <v>125</v>
      </c>
      <c r="E205" s="30" t="s">
        <v>224</v>
      </c>
      <c r="F205" s="30"/>
      <c r="G205" s="30" t="s">
        <v>207</v>
      </c>
      <c r="H205" s="31" t="s">
        <v>208</v>
      </c>
      <c r="I205" s="30"/>
      <c r="J205" s="30"/>
      <c r="K205" s="32"/>
    </row>
    <row r="206" spans="1:11" x14ac:dyDescent="0.3">
      <c r="A206" s="28"/>
      <c r="B206" s="29" t="s">
        <v>618</v>
      </c>
      <c r="C206" s="30" t="s">
        <v>619</v>
      </c>
      <c r="D206" s="30" t="s">
        <v>125</v>
      </c>
      <c r="E206" s="30" t="s">
        <v>224</v>
      </c>
      <c r="F206" s="30" t="s">
        <v>417</v>
      </c>
      <c r="G206" s="30" t="s">
        <v>159</v>
      </c>
      <c r="H206" s="33" t="s">
        <v>215</v>
      </c>
      <c r="I206" s="30"/>
      <c r="J206" s="30"/>
      <c r="K206" s="32"/>
    </row>
    <row r="207" spans="1:11" x14ac:dyDescent="0.3">
      <c r="A207" s="28"/>
      <c r="B207" s="29" t="s">
        <v>11</v>
      </c>
      <c r="C207" s="30" t="s">
        <v>620</v>
      </c>
      <c r="D207" s="30" t="s">
        <v>250</v>
      </c>
      <c r="E207" s="30" t="s">
        <v>206</v>
      </c>
      <c r="F207" s="30"/>
      <c r="G207" s="30" t="s">
        <v>207</v>
      </c>
      <c r="H207" s="31" t="s">
        <v>208</v>
      </c>
      <c r="I207" s="30"/>
      <c r="J207" s="30"/>
      <c r="K207" s="32"/>
    </row>
    <row r="208" spans="1:11" x14ac:dyDescent="0.3">
      <c r="A208" s="28"/>
      <c r="B208" s="29" t="s">
        <v>146</v>
      </c>
      <c r="C208" s="30" t="s">
        <v>147</v>
      </c>
      <c r="D208" s="30" t="s">
        <v>102</v>
      </c>
      <c r="E208" s="30" t="s">
        <v>206</v>
      </c>
      <c r="F208" s="30" t="s">
        <v>621</v>
      </c>
      <c r="G208" s="30" t="s">
        <v>285</v>
      </c>
      <c r="H208" s="31" t="s">
        <v>208</v>
      </c>
      <c r="I208" s="30"/>
      <c r="J208" s="30"/>
      <c r="K208" s="32"/>
    </row>
    <row r="209" spans="1:11" x14ac:dyDescent="0.3">
      <c r="A209" s="28"/>
      <c r="B209" s="29" t="s">
        <v>622</v>
      </c>
      <c r="C209" s="30" t="s">
        <v>623</v>
      </c>
      <c r="D209" s="30" t="s">
        <v>102</v>
      </c>
      <c r="E209" s="30" t="s">
        <v>212</v>
      </c>
      <c r="F209" s="30"/>
      <c r="G209" s="30" t="s">
        <v>207</v>
      </c>
      <c r="H209" s="31" t="s">
        <v>208</v>
      </c>
      <c r="I209" s="30"/>
      <c r="J209" s="30"/>
      <c r="K209" s="32"/>
    </row>
    <row r="210" spans="1:11" x14ac:dyDescent="0.3">
      <c r="A210" s="28"/>
      <c r="B210" s="29" t="s">
        <v>624</v>
      </c>
      <c r="C210" s="30" t="s">
        <v>625</v>
      </c>
      <c r="D210" s="30" t="s">
        <v>29</v>
      </c>
      <c r="E210" s="30" t="s">
        <v>212</v>
      </c>
      <c r="F210" s="30" t="s">
        <v>626</v>
      </c>
      <c r="G210" s="30" t="s">
        <v>159</v>
      </c>
      <c r="H210" s="33" t="s">
        <v>215</v>
      </c>
      <c r="I210" s="30"/>
      <c r="J210" s="30"/>
      <c r="K210" s="32"/>
    </row>
    <row r="211" spans="1:11" x14ac:dyDescent="0.3">
      <c r="A211" s="28"/>
      <c r="B211" s="29" t="s">
        <v>627</v>
      </c>
      <c r="C211" s="30" t="s">
        <v>628</v>
      </c>
      <c r="D211" s="30" t="s">
        <v>274</v>
      </c>
      <c r="E211" s="30" t="s">
        <v>212</v>
      </c>
      <c r="F211" s="30"/>
      <c r="G211" s="30" t="s">
        <v>207</v>
      </c>
      <c r="H211" s="31" t="s">
        <v>208</v>
      </c>
      <c r="I211" s="30"/>
      <c r="J211" s="30"/>
      <c r="K211" s="32"/>
    </row>
    <row r="212" spans="1:11" x14ac:dyDescent="0.3">
      <c r="A212" s="28"/>
      <c r="B212" s="29" t="s">
        <v>629</v>
      </c>
      <c r="C212" s="30" t="s">
        <v>630</v>
      </c>
      <c r="D212" s="30" t="s">
        <v>102</v>
      </c>
      <c r="E212" s="30" t="s">
        <v>212</v>
      </c>
      <c r="F212" s="30"/>
      <c r="G212" s="30" t="s">
        <v>227</v>
      </c>
      <c r="H212" s="33" t="s">
        <v>215</v>
      </c>
      <c r="I212" s="30"/>
      <c r="J212" s="30"/>
      <c r="K212" s="32"/>
    </row>
    <row r="213" spans="1:11" x14ac:dyDescent="0.3">
      <c r="A213" s="28"/>
      <c r="B213" s="29" t="s">
        <v>631</v>
      </c>
      <c r="C213" s="30" t="s">
        <v>632</v>
      </c>
      <c r="D213" s="30" t="s">
        <v>218</v>
      </c>
      <c r="E213" s="30" t="s">
        <v>212</v>
      </c>
      <c r="F213" s="30" t="s">
        <v>633</v>
      </c>
      <c r="G213" s="30" t="s">
        <v>269</v>
      </c>
      <c r="H213" s="33" t="s">
        <v>215</v>
      </c>
      <c r="I213" s="30"/>
      <c r="J213" s="30"/>
      <c r="K213" s="32"/>
    </row>
    <row r="214" spans="1:11" x14ac:dyDescent="0.3">
      <c r="A214" s="28"/>
      <c r="B214" s="29" t="s">
        <v>634</v>
      </c>
      <c r="C214" s="30" t="s">
        <v>635</v>
      </c>
      <c r="D214" s="30" t="s">
        <v>125</v>
      </c>
      <c r="E214" s="30" t="s">
        <v>224</v>
      </c>
      <c r="F214" s="30"/>
      <c r="G214" s="30" t="s">
        <v>207</v>
      </c>
      <c r="H214" s="31" t="s">
        <v>208</v>
      </c>
      <c r="I214" s="30"/>
      <c r="J214" s="30"/>
      <c r="K214" s="32"/>
    </row>
    <row r="215" spans="1:11" x14ac:dyDescent="0.3">
      <c r="A215" s="28"/>
      <c r="B215" s="29" t="s">
        <v>636</v>
      </c>
      <c r="C215" s="30" t="s">
        <v>637</v>
      </c>
      <c r="D215" s="30" t="s">
        <v>218</v>
      </c>
      <c r="E215" s="30" t="s">
        <v>212</v>
      </c>
      <c r="F215" s="30" t="s">
        <v>621</v>
      </c>
      <c r="G215" s="30" t="s">
        <v>285</v>
      </c>
      <c r="H215" s="31" t="s">
        <v>208</v>
      </c>
      <c r="I215" s="30"/>
      <c r="J215" s="30"/>
      <c r="K215" s="32"/>
    </row>
    <row r="216" spans="1:11" x14ac:dyDescent="0.3">
      <c r="A216" s="28"/>
      <c r="B216" s="29" t="s">
        <v>638</v>
      </c>
      <c r="C216" s="30" t="s">
        <v>639</v>
      </c>
      <c r="D216" s="30" t="s">
        <v>274</v>
      </c>
      <c r="E216" s="30" t="s">
        <v>212</v>
      </c>
      <c r="F216" s="30" t="s">
        <v>405</v>
      </c>
      <c r="G216" s="30" t="s">
        <v>233</v>
      </c>
      <c r="H216" s="31" t="s">
        <v>208</v>
      </c>
      <c r="I216" s="30"/>
      <c r="J216" s="30"/>
      <c r="K216" s="32"/>
    </row>
    <row r="217" spans="1:11" x14ac:dyDescent="0.3">
      <c r="A217" s="28"/>
      <c r="B217" s="29" t="s">
        <v>165</v>
      </c>
      <c r="C217" s="30" t="s">
        <v>640</v>
      </c>
      <c r="D217" s="30" t="s">
        <v>102</v>
      </c>
      <c r="E217" s="30" t="s">
        <v>206</v>
      </c>
      <c r="F217" s="30" t="s">
        <v>447</v>
      </c>
      <c r="G217" s="30" t="s">
        <v>159</v>
      </c>
      <c r="H217" s="33" t="s">
        <v>215</v>
      </c>
      <c r="I217" s="30"/>
      <c r="J217" s="30"/>
      <c r="K217" s="32"/>
    </row>
    <row r="218" spans="1:11" x14ac:dyDescent="0.3">
      <c r="A218" s="28"/>
      <c r="B218" s="29" t="s">
        <v>641</v>
      </c>
      <c r="C218" s="30" t="s">
        <v>642</v>
      </c>
      <c r="D218" s="30" t="s">
        <v>125</v>
      </c>
      <c r="E218" s="30" t="s">
        <v>206</v>
      </c>
      <c r="F218" s="30"/>
      <c r="G218" s="30" t="s">
        <v>207</v>
      </c>
      <c r="H218" s="31" t="s">
        <v>208</v>
      </c>
      <c r="I218" s="30"/>
      <c r="J218" s="30"/>
      <c r="K218" s="32"/>
    </row>
    <row r="219" spans="1:11" x14ac:dyDescent="0.3">
      <c r="A219" s="28"/>
      <c r="B219" s="29" t="s">
        <v>643</v>
      </c>
      <c r="C219" s="30" t="s">
        <v>644</v>
      </c>
      <c r="D219" s="30" t="s">
        <v>29</v>
      </c>
      <c r="E219" s="30" t="s">
        <v>206</v>
      </c>
      <c r="F219" s="30"/>
      <c r="G219" s="30" t="s">
        <v>207</v>
      </c>
      <c r="H219" s="31" t="s">
        <v>208</v>
      </c>
      <c r="I219" s="30"/>
      <c r="J219" s="30"/>
      <c r="K219" s="32"/>
    </row>
    <row r="220" spans="1:11" x14ac:dyDescent="0.3">
      <c r="A220" s="28"/>
      <c r="B220" s="29" t="s">
        <v>645</v>
      </c>
      <c r="C220" s="30" t="s">
        <v>646</v>
      </c>
      <c r="D220" s="30" t="s">
        <v>29</v>
      </c>
      <c r="E220" s="30" t="s">
        <v>206</v>
      </c>
      <c r="F220" s="30" t="s">
        <v>232</v>
      </c>
      <c r="G220" s="30" t="s">
        <v>233</v>
      </c>
      <c r="H220" s="31" t="s">
        <v>208</v>
      </c>
      <c r="I220" s="30"/>
      <c r="J220" s="30"/>
      <c r="K220" s="32"/>
    </row>
    <row r="221" spans="1:11" x14ac:dyDescent="0.3">
      <c r="A221" s="28"/>
      <c r="B221" s="29" t="s">
        <v>647</v>
      </c>
      <c r="C221" s="30" t="s">
        <v>648</v>
      </c>
      <c r="D221" s="30" t="s">
        <v>125</v>
      </c>
      <c r="E221" s="30" t="s">
        <v>224</v>
      </c>
      <c r="F221" s="30"/>
      <c r="G221" s="30" t="s">
        <v>207</v>
      </c>
      <c r="H221" s="31" t="s">
        <v>208</v>
      </c>
      <c r="I221" s="30"/>
      <c r="J221" s="30"/>
      <c r="K221" s="32"/>
    </row>
    <row r="222" spans="1:11" x14ac:dyDescent="0.3">
      <c r="A222" s="28"/>
      <c r="B222" s="29" t="s">
        <v>649</v>
      </c>
      <c r="C222" s="30" t="s">
        <v>650</v>
      </c>
      <c r="D222" s="30" t="s">
        <v>125</v>
      </c>
      <c r="E222" s="30" t="s">
        <v>224</v>
      </c>
      <c r="F222" s="30"/>
      <c r="G222" s="30" t="s">
        <v>227</v>
      </c>
      <c r="H222" s="33" t="s">
        <v>215</v>
      </c>
      <c r="I222" s="30"/>
      <c r="J222" s="30"/>
      <c r="K222" s="32"/>
    </row>
    <row r="223" spans="1:11" x14ac:dyDescent="0.3">
      <c r="A223" s="28"/>
      <c r="B223" s="29" t="s">
        <v>183</v>
      </c>
      <c r="C223" s="30" t="s">
        <v>651</v>
      </c>
      <c r="D223" s="30" t="s">
        <v>29</v>
      </c>
      <c r="E223" s="30" t="s">
        <v>206</v>
      </c>
      <c r="F223" s="30"/>
      <c r="G223" s="30" t="s">
        <v>227</v>
      </c>
      <c r="H223" s="33" t="s">
        <v>215</v>
      </c>
      <c r="I223" s="30"/>
      <c r="J223" s="30"/>
      <c r="K223" s="32"/>
    </row>
    <row r="224" spans="1:11" x14ac:dyDescent="0.3">
      <c r="A224" s="28"/>
      <c r="B224" s="29" t="s">
        <v>148</v>
      </c>
      <c r="C224" s="30" t="s">
        <v>652</v>
      </c>
      <c r="D224" s="30" t="s">
        <v>27</v>
      </c>
      <c r="E224" s="30" t="s">
        <v>206</v>
      </c>
      <c r="F224" s="30" t="s">
        <v>653</v>
      </c>
      <c r="G224" s="30" t="s">
        <v>654</v>
      </c>
      <c r="H224" s="31" t="s">
        <v>208</v>
      </c>
      <c r="I224" s="30"/>
      <c r="J224" s="30"/>
      <c r="K224" s="32"/>
    </row>
    <row r="225" spans="1:11" x14ac:dyDescent="0.3">
      <c r="A225" s="28"/>
      <c r="B225" s="29" t="s">
        <v>655</v>
      </c>
      <c r="C225" s="30" t="s">
        <v>656</v>
      </c>
      <c r="D225" s="30" t="s">
        <v>274</v>
      </c>
      <c r="E225" s="30" t="s">
        <v>212</v>
      </c>
      <c r="F225" s="30"/>
      <c r="G225" s="30" t="s">
        <v>207</v>
      </c>
      <c r="H225" s="31" t="s">
        <v>208</v>
      </c>
      <c r="I225" s="30"/>
      <c r="J225" s="30"/>
      <c r="K225" s="32"/>
    </row>
    <row r="226" spans="1:11" x14ac:dyDescent="0.3">
      <c r="A226" s="28"/>
      <c r="B226" s="29" t="s">
        <v>134</v>
      </c>
      <c r="C226" s="30" t="s">
        <v>657</v>
      </c>
      <c r="D226" s="30" t="s">
        <v>125</v>
      </c>
      <c r="E226" s="30" t="s">
        <v>206</v>
      </c>
      <c r="F226" s="30" t="s">
        <v>461</v>
      </c>
      <c r="G226" s="30" t="s">
        <v>233</v>
      </c>
      <c r="H226" s="31" t="s">
        <v>208</v>
      </c>
      <c r="I226" s="30"/>
      <c r="J226" s="30"/>
      <c r="K226" s="32"/>
    </row>
    <row r="227" spans="1:11" x14ac:dyDescent="0.3">
      <c r="A227" s="28"/>
      <c r="B227" s="29" t="s">
        <v>658</v>
      </c>
      <c r="C227" s="30" t="s">
        <v>659</v>
      </c>
      <c r="D227" s="30" t="s">
        <v>125</v>
      </c>
      <c r="E227" s="30" t="s">
        <v>206</v>
      </c>
      <c r="F227" s="30" t="s">
        <v>461</v>
      </c>
      <c r="G227" s="30" t="s">
        <v>233</v>
      </c>
      <c r="H227" s="31" t="s">
        <v>208</v>
      </c>
      <c r="I227" s="30"/>
      <c r="J227" s="30"/>
      <c r="K227" s="32"/>
    </row>
    <row r="228" spans="1:11" x14ac:dyDescent="0.3">
      <c r="A228" s="28"/>
      <c r="B228" s="29" t="s">
        <v>660</v>
      </c>
      <c r="C228" s="30" t="s">
        <v>661</v>
      </c>
      <c r="D228" s="30" t="s">
        <v>102</v>
      </c>
      <c r="E228" s="30" t="s">
        <v>212</v>
      </c>
      <c r="F228" s="30" t="s">
        <v>662</v>
      </c>
      <c r="G228" s="30" t="s">
        <v>159</v>
      </c>
      <c r="H228" s="33" t="s">
        <v>215</v>
      </c>
      <c r="I228" s="30"/>
      <c r="J228" s="30"/>
      <c r="K228" s="32"/>
    </row>
    <row r="229" spans="1:11" x14ac:dyDescent="0.3">
      <c r="A229" s="28"/>
      <c r="B229" s="29" t="s">
        <v>663</v>
      </c>
      <c r="C229" s="30" t="s">
        <v>664</v>
      </c>
      <c r="D229" s="30" t="s">
        <v>29</v>
      </c>
      <c r="E229" s="30" t="s">
        <v>212</v>
      </c>
      <c r="F229" s="30" t="s">
        <v>665</v>
      </c>
      <c r="G229" s="30" t="s">
        <v>269</v>
      </c>
      <c r="H229" s="33" t="s">
        <v>215</v>
      </c>
      <c r="I229" s="30"/>
      <c r="J229" s="30"/>
      <c r="K229" s="32"/>
    </row>
    <row r="230" spans="1:11" x14ac:dyDescent="0.3">
      <c r="A230" s="28"/>
      <c r="B230" s="29" t="s">
        <v>666</v>
      </c>
      <c r="C230" s="30" t="s">
        <v>667</v>
      </c>
      <c r="D230" s="30" t="s">
        <v>125</v>
      </c>
      <c r="E230" s="30" t="s">
        <v>224</v>
      </c>
      <c r="F230" s="30"/>
      <c r="G230" s="30" t="s">
        <v>207</v>
      </c>
      <c r="H230" s="31" t="s">
        <v>208</v>
      </c>
      <c r="I230" s="30"/>
      <c r="J230" s="30"/>
      <c r="K230" s="32"/>
    </row>
    <row r="231" spans="1:11" x14ac:dyDescent="0.3">
      <c r="A231" s="28"/>
      <c r="B231" s="29" t="s">
        <v>668</v>
      </c>
      <c r="C231" s="30" t="s">
        <v>669</v>
      </c>
      <c r="D231" s="30" t="s">
        <v>125</v>
      </c>
      <c r="E231" s="30" t="s">
        <v>224</v>
      </c>
      <c r="F231" s="30"/>
      <c r="G231" s="30" t="s">
        <v>207</v>
      </c>
      <c r="H231" s="31" t="s">
        <v>208</v>
      </c>
      <c r="I231" s="30"/>
      <c r="J231" s="30"/>
      <c r="K231" s="32"/>
    </row>
    <row r="232" spans="1:11" x14ac:dyDescent="0.3">
      <c r="A232" s="28"/>
      <c r="B232" s="29" t="s">
        <v>670</v>
      </c>
      <c r="C232" s="30" t="s">
        <v>671</v>
      </c>
      <c r="D232" s="30" t="s">
        <v>218</v>
      </c>
      <c r="E232" s="30" t="s">
        <v>212</v>
      </c>
      <c r="F232" s="30"/>
      <c r="G232" s="30" t="s">
        <v>207</v>
      </c>
      <c r="H232" s="31" t="s">
        <v>208</v>
      </c>
      <c r="I232" s="30"/>
      <c r="J232" s="30"/>
      <c r="K232" s="32"/>
    </row>
    <row r="233" spans="1:11" x14ac:dyDescent="0.3">
      <c r="A233" s="28"/>
      <c r="B233" s="29" t="s">
        <v>672</v>
      </c>
      <c r="C233" s="30" t="s">
        <v>673</v>
      </c>
      <c r="D233" s="30" t="s">
        <v>125</v>
      </c>
      <c r="E233" s="30" t="s">
        <v>206</v>
      </c>
      <c r="F233" s="30"/>
      <c r="G233" s="30" t="s">
        <v>207</v>
      </c>
      <c r="H233" s="31" t="s">
        <v>208</v>
      </c>
      <c r="I233" s="30"/>
      <c r="J233" s="30"/>
      <c r="K233" s="32"/>
    </row>
    <row r="234" spans="1:11" x14ac:dyDescent="0.3">
      <c r="A234" s="28"/>
      <c r="B234" s="29" t="s">
        <v>72</v>
      </c>
      <c r="C234" s="30" t="s">
        <v>674</v>
      </c>
      <c r="D234" s="30" t="s">
        <v>29</v>
      </c>
      <c r="E234" s="30" t="s">
        <v>206</v>
      </c>
      <c r="F234" s="30" t="s">
        <v>675</v>
      </c>
      <c r="G234" s="30" t="s">
        <v>207</v>
      </c>
      <c r="H234" s="31" t="s">
        <v>208</v>
      </c>
      <c r="I234" s="30"/>
      <c r="J234" s="30"/>
      <c r="K234" s="32"/>
    </row>
    <row r="235" spans="1:11" x14ac:dyDescent="0.3">
      <c r="A235" s="28"/>
      <c r="B235" s="29" t="s">
        <v>676</v>
      </c>
      <c r="C235" s="30" t="s">
        <v>677</v>
      </c>
      <c r="D235" s="30" t="s">
        <v>125</v>
      </c>
      <c r="E235" s="30" t="s">
        <v>206</v>
      </c>
      <c r="F235" s="30"/>
      <c r="G235" s="30" t="s">
        <v>227</v>
      </c>
      <c r="H235" s="33" t="s">
        <v>215</v>
      </c>
      <c r="I235" s="30"/>
      <c r="J235" s="30"/>
      <c r="K235" s="32"/>
    </row>
    <row r="236" spans="1:11" x14ac:dyDescent="0.3">
      <c r="A236" s="28"/>
      <c r="B236" s="29" t="s">
        <v>678</v>
      </c>
      <c r="C236" s="30" t="s">
        <v>679</v>
      </c>
      <c r="D236" s="30" t="s">
        <v>125</v>
      </c>
      <c r="E236" s="30" t="s">
        <v>224</v>
      </c>
      <c r="F236" s="30"/>
      <c r="G236" s="30" t="s">
        <v>207</v>
      </c>
      <c r="H236" s="31" t="s">
        <v>208</v>
      </c>
      <c r="I236" s="30"/>
      <c r="J236" s="30"/>
      <c r="K236" s="32"/>
    </row>
    <row r="237" spans="1:11" x14ac:dyDescent="0.3">
      <c r="A237" s="28"/>
      <c r="B237" s="29" t="s">
        <v>74</v>
      </c>
      <c r="C237" s="30" t="s">
        <v>680</v>
      </c>
      <c r="D237" s="30" t="s">
        <v>29</v>
      </c>
      <c r="E237" s="30" t="s">
        <v>206</v>
      </c>
      <c r="F237" s="30"/>
      <c r="G237" s="30" t="s">
        <v>207</v>
      </c>
      <c r="H237" s="31" t="s">
        <v>208</v>
      </c>
      <c r="I237" s="30"/>
      <c r="J237" s="30"/>
      <c r="K237" s="32"/>
    </row>
    <row r="238" spans="1:11" x14ac:dyDescent="0.3">
      <c r="A238" s="28"/>
      <c r="B238" s="29" t="s">
        <v>681</v>
      </c>
      <c r="C238" s="30" t="s">
        <v>682</v>
      </c>
      <c r="D238" s="30" t="s">
        <v>125</v>
      </c>
      <c r="E238" s="30" t="s">
        <v>224</v>
      </c>
      <c r="F238" s="30"/>
      <c r="G238" s="30" t="s">
        <v>207</v>
      </c>
      <c r="H238" s="31" t="s">
        <v>208</v>
      </c>
      <c r="I238" s="30"/>
      <c r="J238" s="30"/>
      <c r="K238" s="32"/>
    </row>
    <row r="239" spans="1:11" x14ac:dyDescent="0.3">
      <c r="A239" s="28"/>
      <c r="B239" s="29" t="s">
        <v>194</v>
      </c>
      <c r="C239" s="30" t="s">
        <v>683</v>
      </c>
      <c r="D239" s="30" t="s">
        <v>29</v>
      </c>
      <c r="E239" s="30" t="s">
        <v>206</v>
      </c>
      <c r="F239" s="30"/>
      <c r="G239" s="30" t="s">
        <v>214</v>
      </c>
      <c r="H239" s="33" t="s">
        <v>215</v>
      </c>
      <c r="I239" s="30"/>
      <c r="J239" s="30"/>
      <c r="K239" s="32"/>
    </row>
    <row r="240" spans="1:11" x14ac:dyDescent="0.3">
      <c r="A240" s="28"/>
      <c r="B240" s="29" t="s">
        <v>684</v>
      </c>
      <c r="C240" s="30" t="s">
        <v>685</v>
      </c>
      <c r="D240" s="30" t="s">
        <v>125</v>
      </c>
      <c r="E240" s="30" t="s">
        <v>224</v>
      </c>
      <c r="F240" s="30"/>
      <c r="G240" s="30" t="s">
        <v>227</v>
      </c>
      <c r="H240" s="33" t="s">
        <v>215</v>
      </c>
      <c r="I240" s="30"/>
      <c r="J240" s="30"/>
      <c r="K240" s="32"/>
    </row>
    <row r="241" spans="1:11" x14ac:dyDescent="0.3">
      <c r="A241" s="28"/>
      <c r="B241" s="29" t="s">
        <v>41</v>
      </c>
      <c r="C241" s="30" t="s">
        <v>686</v>
      </c>
      <c r="D241" s="30" t="s">
        <v>29</v>
      </c>
      <c r="E241" s="30" t="s">
        <v>206</v>
      </c>
      <c r="F241" s="30"/>
      <c r="G241" s="30" t="s">
        <v>207</v>
      </c>
      <c r="H241" s="31" t="s">
        <v>208</v>
      </c>
      <c r="I241" s="30"/>
      <c r="J241" s="30"/>
      <c r="K241" s="32"/>
    </row>
    <row r="242" spans="1:11" x14ac:dyDescent="0.3">
      <c r="A242" s="28"/>
      <c r="B242" s="29" t="s">
        <v>687</v>
      </c>
      <c r="C242" s="30" t="s">
        <v>688</v>
      </c>
      <c r="D242" s="30" t="s">
        <v>274</v>
      </c>
      <c r="E242" s="30" t="s">
        <v>212</v>
      </c>
      <c r="F242" s="30" t="s">
        <v>689</v>
      </c>
      <c r="G242" s="30" t="s">
        <v>207</v>
      </c>
      <c r="H242" s="31" t="s">
        <v>208</v>
      </c>
      <c r="I242" s="30"/>
      <c r="J242" s="30"/>
      <c r="K242" s="32"/>
    </row>
    <row r="243" spans="1:11" x14ac:dyDescent="0.3">
      <c r="A243" s="28"/>
      <c r="B243" s="29" t="s">
        <v>690</v>
      </c>
      <c r="C243" s="30" t="s">
        <v>691</v>
      </c>
      <c r="D243" s="30" t="s">
        <v>218</v>
      </c>
      <c r="E243" s="30" t="s">
        <v>212</v>
      </c>
      <c r="F243" s="30"/>
      <c r="G243" s="30" t="s">
        <v>207</v>
      </c>
      <c r="H243" s="31" t="s">
        <v>208</v>
      </c>
      <c r="I243" s="30"/>
      <c r="J243" s="30"/>
      <c r="K243" s="32"/>
    </row>
    <row r="244" spans="1:11" x14ac:dyDescent="0.3">
      <c r="A244" s="28"/>
      <c r="B244" s="29" t="s">
        <v>692</v>
      </c>
      <c r="C244" s="30" t="s">
        <v>693</v>
      </c>
      <c r="D244" s="30" t="s">
        <v>125</v>
      </c>
      <c r="E244" s="30" t="s">
        <v>224</v>
      </c>
      <c r="F244" s="30"/>
      <c r="G244" s="30" t="s">
        <v>207</v>
      </c>
      <c r="H244" s="31" t="s">
        <v>208</v>
      </c>
      <c r="I244" s="30"/>
      <c r="J244" s="30"/>
      <c r="K244" s="32"/>
    </row>
    <row r="245" spans="1:11" x14ac:dyDescent="0.3">
      <c r="A245" s="28"/>
      <c r="B245" s="29" t="s">
        <v>694</v>
      </c>
      <c r="C245" s="30" t="s">
        <v>695</v>
      </c>
      <c r="D245" s="30" t="s">
        <v>29</v>
      </c>
      <c r="E245" s="30" t="s">
        <v>212</v>
      </c>
      <c r="F245" s="30" t="s">
        <v>696</v>
      </c>
      <c r="G245" s="30" t="s">
        <v>233</v>
      </c>
      <c r="H245" s="31" t="s">
        <v>208</v>
      </c>
      <c r="I245" s="30"/>
      <c r="J245" s="30"/>
      <c r="K245" s="32"/>
    </row>
    <row r="246" spans="1:11" x14ac:dyDescent="0.3">
      <c r="A246" s="28"/>
      <c r="B246" s="29" t="s">
        <v>697</v>
      </c>
      <c r="C246" s="30" t="s">
        <v>698</v>
      </c>
      <c r="D246" s="30" t="s">
        <v>125</v>
      </c>
      <c r="E246" s="30" t="s">
        <v>206</v>
      </c>
      <c r="F246" s="30"/>
      <c r="G246" s="30" t="s">
        <v>227</v>
      </c>
      <c r="H246" s="33" t="s">
        <v>215</v>
      </c>
      <c r="I246" s="30"/>
      <c r="J246" s="30"/>
      <c r="K246" s="32"/>
    </row>
    <row r="247" spans="1:11" x14ac:dyDescent="0.3">
      <c r="A247" s="28"/>
      <c r="B247" s="29" t="s">
        <v>699</v>
      </c>
      <c r="C247" s="30" t="s">
        <v>700</v>
      </c>
      <c r="D247" s="30" t="s">
        <v>29</v>
      </c>
      <c r="E247" s="30" t="s">
        <v>212</v>
      </c>
      <c r="F247" s="30" t="s">
        <v>701</v>
      </c>
      <c r="G247" s="30" t="s">
        <v>253</v>
      </c>
      <c r="H247" s="31" t="s">
        <v>208</v>
      </c>
      <c r="I247" s="30"/>
      <c r="J247" s="30"/>
      <c r="K247" s="32"/>
    </row>
    <row r="248" spans="1:11" x14ac:dyDescent="0.3">
      <c r="A248" s="28"/>
      <c r="B248" s="29" t="s">
        <v>139</v>
      </c>
      <c r="C248" s="30" t="s">
        <v>702</v>
      </c>
      <c r="D248" s="30" t="s">
        <v>29</v>
      </c>
      <c r="E248" s="30" t="s">
        <v>206</v>
      </c>
      <c r="F248" s="30" t="s">
        <v>703</v>
      </c>
      <c r="G248" s="30" t="s">
        <v>253</v>
      </c>
      <c r="H248" s="31" t="s">
        <v>208</v>
      </c>
      <c r="I248" s="30"/>
      <c r="J248" s="30"/>
      <c r="K248" s="32"/>
    </row>
    <row r="249" spans="1:11" x14ac:dyDescent="0.3">
      <c r="A249" s="28"/>
      <c r="B249" s="29" t="s">
        <v>123</v>
      </c>
      <c r="C249" s="30" t="s">
        <v>704</v>
      </c>
      <c r="D249" s="30" t="s">
        <v>29</v>
      </c>
      <c r="E249" s="30" t="s">
        <v>206</v>
      </c>
      <c r="F249" s="30" t="s">
        <v>703</v>
      </c>
      <c r="G249" s="30" t="s">
        <v>233</v>
      </c>
      <c r="H249" s="31" t="s">
        <v>208</v>
      </c>
      <c r="I249" s="30"/>
      <c r="J249" s="30"/>
      <c r="K249" s="32"/>
    </row>
    <row r="250" spans="1:11" x14ac:dyDescent="0.3">
      <c r="A250" s="28"/>
      <c r="B250" s="29" t="s">
        <v>182</v>
      </c>
      <c r="C250" s="30" t="s">
        <v>705</v>
      </c>
      <c r="D250" s="30" t="s">
        <v>29</v>
      </c>
      <c r="E250" s="30" t="s">
        <v>206</v>
      </c>
      <c r="F250" s="30"/>
      <c r="G250" s="30" t="s">
        <v>227</v>
      </c>
      <c r="H250" s="33" t="s">
        <v>215</v>
      </c>
      <c r="I250" s="30"/>
      <c r="J250" s="30"/>
      <c r="K250" s="32"/>
    </row>
    <row r="251" spans="1:11" x14ac:dyDescent="0.3">
      <c r="A251" s="28"/>
      <c r="B251" s="29" t="s">
        <v>706</v>
      </c>
      <c r="C251" s="30" t="s">
        <v>707</v>
      </c>
      <c r="D251" s="30" t="s">
        <v>102</v>
      </c>
      <c r="E251" s="30" t="s">
        <v>212</v>
      </c>
      <c r="F251" s="30"/>
      <c r="G251" s="30" t="s">
        <v>207</v>
      </c>
      <c r="H251" s="31" t="s">
        <v>208</v>
      </c>
      <c r="I251" s="30"/>
      <c r="J251" s="30"/>
      <c r="K251" s="32"/>
    </row>
    <row r="252" spans="1:11" x14ac:dyDescent="0.3">
      <c r="A252" s="28"/>
      <c r="B252" s="29" t="s">
        <v>708</v>
      </c>
      <c r="C252" s="30" t="s">
        <v>709</v>
      </c>
      <c r="D252" s="30" t="s">
        <v>125</v>
      </c>
      <c r="E252" s="30" t="s">
        <v>224</v>
      </c>
      <c r="F252" s="30"/>
      <c r="G252" s="30" t="s">
        <v>227</v>
      </c>
      <c r="H252" s="33" t="s">
        <v>215</v>
      </c>
      <c r="I252" s="30"/>
      <c r="J252" s="30"/>
      <c r="K252" s="32"/>
    </row>
    <row r="253" spans="1:11" x14ac:dyDescent="0.3">
      <c r="A253" s="28"/>
      <c r="B253" s="29" t="s">
        <v>710</v>
      </c>
      <c r="C253" s="30" t="s">
        <v>711</v>
      </c>
      <c r="D253" s="30" t="s">
        <v>125</v>
      </c>
      <c r="E253" s="30" t="s">
        <v>224</v>
      </c>
      <c r="F253" s="30"/>
      <c r="G253" s="30" t="s">
        <v>159</v>
      </c>
      <c r="H253" s="33" t="s">
        <v>215</v>
      </c>
      <c r="I253" s="30"/>
      <c r="J253" s="30"/>
      <c r="K253" s="32"/>
    </row>
    <row r="254" spans="1:11" x14ac:dyDescent="0.3">
      <c r="A254" s="28"/>
      <c r="B254" s="29" t="s">
        <v>712</v>
      </c>
      <c r="C254" s="30" t="s">
        <v>713</v>
      </c>
      <c r="D254" s="30" t="s">
        <v>125</v>
      </c>
      <c r="E254" s="30" t="s">
        <v>224</v>
      </c>
      <c r="F254" s="30"/>
      <c r="G254" s="30" t="s">
        <v>207</v>
      </c>
      <c r="H254" s="31" t="s">
        <v>208</v>
      </c>
      <c r="I254" s="30"/>
      <c r="J254" s="30"/>
      <c r="K254" s="32"/>
    </row>
    <row r="255" spans="1:11" x14ac:dyDescent="0.3">
      <c r="A255" s="28"/>
      <c r="B255" s="29" t="s">
        <v>714</v>
      </c>
      <c r="C255" s="30" t="s">
        <v>715</v>
      </c>
      <c r="D255" s="30" t="s">
        <v>125</v>
      </c>
      <c r="E255" s="30" t="s">
        <v>224</v>
      </c>
      <c r="F255" s="30"/>
      <c r="G255" s="30" t="s">
        <v>159</v>
      </c>
      <c r="H255" s="33" t="s">
        <v>215</v>
      </c>
      <c r="I255" s="30"/>
      <c r="J255" s="30"/>
      <c r="K255" s="32"/>
    </row>
    <row r="256" spans="1:11" x14ac:dyDescent="0.3">
      <c r="A256" s="28"/>
      <c r="B256" s="29" t="s">
        <v>716</v>
      </c>
      <c r="C256" s="30" t="s">
        <v>717</v>
      </c>
      <c r="D256" s="30" t="s">
        <v>125</v>
      </c>
      <c r="E256" s="30" t="s">
        <v>224</v>
      </c>
      <c r="F256" s="30"/>
      <c r="G256" s="30" t="s">
        <v>207</v>
      </c>
      <c r="H256" s="31" t="s">
        <v>208</v>
      </c>
      <c r="I256" s="30"/>
      <c r="J256" s="30"/>
      <c r="K256" s="32"/>
    </row>
    <row r="257" spans="1:11" x14ac:dyDescent="0.3">
      <c r="A257" s="28"/>
      <c r="B257" s="29" t="s">
        <v>718</v>
      </c>
      <c r="C257" s="30" t="s">
        <v>719</v>
      </c>
      <c r="D257" s="30" t="s">
        <v>125</v>
      </c>
      <c r="E257" s="30" t="s">
        <v>206</v>
      </c>
      <c r="F257" s="30" t="s">
        <v>720</v>
      </c>
      <c r="G257" s="30" t="s">
        <v>379</v>
      </c>
      <c r="H257" s="33" t="s">
        <v>215</v>
      </c>
      <c r="I257" s="30"/>
      <c r="J257" s="30"/>
      <c r="K257" s="32"/>
    </row>
    <row r="258" spans="1:11" x14ac:dyDescent="0.3">
      <c r="A258" s="28"/>
      <c r="B258" s="29" t="s">
        <v>721</v>
      </c>
      <c r="C258" s="30" t="s">
        <v>722</v>
      </c>
      <c r="D258" s="30" t="s">
        <v>125</v>
      </c>
      <c r="E258" s="30" t="s">
        <v>224</v>
      </c>
      <c r="F258" s="30"/>
      <c r="G258" s="30" t="s">
        <v>207</v>
      </c>
      <c r="H258" s="31" t="s">
        <v>208</v>
      </c>
      <c r="I258" s="30"/>
      <c r="J258" s="30"/>
      <c r="K258" s="32"/>
    </row>
    <row r="259" spans="1:11" x14ac:dyDescent="0.3">
      <c r="A259" s="28"/>
      <c r="B259" s="29" t="s">
        <v>723</v>
      </c>
      <c r="C259" s="30" t="s">
        <v>724</v>
      </c>
      <c r="D259" s="30" t="s">
        <v>218</v>
      </c>
      <c r="E259" s="30" t="s">
        <v>212</v>
      </c>
      <c r="F259" s="30" t="s">
        <v>725</v>
      </c>
      <c r="G259" s="30" t="s">
        <v>159</v>
      </c>
      <c r="H259" s="33" t="s">
        <v>215</v>
      </c>
      <c r="I259" s="30"/>
      <c r="J259" s="30"/>
      <c r="K259" s="32"/>
    </row>
    <row r="260" spans="1:11" x14ac:dyDescent="0.3">
      <c r="A260" s="28"/>
      <c r="B260" s="29" t="s">
        <v>726</v>
      </c>
      <c r="C260" s="30" t="s">
        <v>727</v>
      </c>
      <c r="D260" s="30" t="s">
        <v>125</v>
      </c>
      <c r="E260" s="30" t="s">
        <v>206</v>
      </c>
      <c r="F260" s="30" t="s">
        <v>728</v>
      </c>
      <c r="G260" s="30" t="s">
        <v>269</v>
      </c>
      <c r="H260" s="33" t="s">
        <v>215</v>
      </c>
      <c r="I260" s="30"/>
      <c r="J260" s="30"/>
      <c r="K260" s="32"/>
    </row>
    <row r="261" spans="1:11" x14ac:dyDescent="0.3">
      <c r="A261" s="28"/>
      <c r="B261" s="29" t="s">
        <v>729</v>
      </c>
      <c r="C261" s="30" t="s">
        <v>730</v>
      </c>
      <c r="D261" s="30" t="s">
        <v>218</v>
      </c>
      <c r="E261" s="30" t="s">
        <v>212</v>
      </c>
      <c r="F261" s="30" t="s">
        <v>731</v>
      </c>
      <c r="G261" s="30" t="s">
        <v>285</v>
      </c>
      <c r="H261" s="31" t="s">
        <v>208</v>
      </c>
      <c r="I261" s="30"/>
      <c r="J261" s="30"/>
      <c r="K261" s="32"/>
    </row>
    <row r="262" spans="1:11" x14ac:dyDescent="0.3">
      <c r="A262" s="28"/>
      <c r="B262" s="29" t="s">
        <v>50</v>
      </c>
      <c r="C262" s="30" t="s">
        <v>732</v>
      </c>
      <c r="D262" s="30" t="s">
        <v>29</v>
      </c>
      <c r="E262" s="30" t="s">
        <v>206</v>
      </c>
      <c r="F262" s="30"/>
      <c r="G262" s="30" t="s">
        <v>207</v>
      </c>
      <c r="H262" s="31" t="s">
        <v>208</v>
      </c>
      <c r="I262" s="30"/>
      <c r="J262" s="30"/>
      <c r="K262" s="32"/>
    </row>
    <row r="263" spans="1:11" x14ac:dyDescent="0.3">
      <c r="A263" s="28"/>
      <c r="B263" s="29" t="s">
        <v>733</v>
      </c>
      <c r="C263" s="30" t="s">
        <v>734</v>
      </c>
      <c r="D263" s="30" t="s">
        <v>125</v>
      </c>
      <c r="E263" s="30" t="s">
        <v>224</v>
      </c>
      <c r="F263" s="30"/>
      <c r="G263" s="30" t="s">
        <v>207</v>
      </c>
      <c r="H263" s="31" t="s">
        <v>208</v>
      </c>
      <c r="I263" s="30"/>
      <c r="J263" s="30"/>
      <c r="K263" s="32"/>
    </row>
    <row r="264" spans="1:11" x14ac:dyDescent="0.3">
      <c r="A264" s="28"/>
      <c r="B264" s="29" t="s">
        <v>735</v>
      </c>
      <c r="C264" s="30" t="s">
        <v>736</v>
      </c>
      <c r="D264" s="30" t="s">
        <v>125</v>
      </c>
      <c r="E264" s="30" t="s">
        <v>224</v>
      </c>
      <c r="F264" s="30"/>
      <c r="G264" s="30" t="s">
        <v>159</v>
      </c>
      <c r="H264" s="33" t="s">
        <v>215</v>
      </c>
      <c r="I264" s="30"/>
      <c r="J264" s="30"/>
      <c r="K264" s="32"/>
    </row>
    <row r="265" spans="1:11" x14ac:dyDescent="0.3">
      <c r="A265" s="28"/>
      <c r="B265" s="29" t="s">
        <v>737</v>
      </c>
      <c r="C265" s="30" t="s">
        <v>738</v>
      </c>
      <c r="D265" s="30" t="s">
        <v>125</v>
      </c>
      <c r="E265" s="30" t="s">
        <v>224</v>
      </c>
      <c r="F265" s="30"/>
      <c r="G265" s="30" t="s">
        <v>207</v>
      </c>
      <c r="H265" s="31" t="s">
        <v>208</v>
      </c>
      <c r="I265" s="30"/>
      <c r="J265" s="30"/>
      <c r="K265" s="32"/>
    </row>
    <row r="266" spans="1:11" x14ac:dyDescent="0.3">
      <c r="A266" s="28"/>
      <c r="B266" s="29" t="s">
        <v>739</v>
      </c>
      <c r="C266" s="30" t="s">
        <v>740</v>
      </c>
      <c r="D266" s="30" t="s">
        <v>218</v>
      </c>
      <c r="E266" s="30" t="s">
        <v>212</v>
      </c>
      <c r="F266" s="30" t="s">
        <v>731</v>
      </c>
      <c r="G266" s="30" t="s">
        <v>285</v>
      </c>
      <c r="H266" s="31" t="s">
        <v>208</v>
      </c>
      <c r="I266" s="30"/>
      <c r="J266" s="30"/>
      <c r="K266" s="32"/>
    </row>
    <row r="267" spans="1:11" x14ac:dyDescent="0.3">
      <c r="A267" s="28"/>
      <c r="B267" s="29" t="s">
        <v>176</v>
      </c>
      <c r="C267" s="30" t="s">
        <v>741</v>
      </c>
      <c r="D267" s="30" t="s">
        <v>250</v>
      </c>
      <c r="E267" s="30" t="s">
        <v>206</v>
      </c>
      <c r="F267" s="30"/>
      <c r="G267" s="30" t="s">
        <v>227</v>
      </c>
      <c r="H267" s="33" t="s">
        <v>215</v>
      </c>
      <c r="I267" s="30"/>
      <c r="J267" s="30"/>
      <c r="K267" s="32"/>
    </row>
    <row r="268" spans="1:11" x14ac:dyDescent="0.3">
      <c r="A268" s="28"/>
      <c r="B268" s="29" t="s">
        <v>742</v>
      </c>
      <c r="C268" s="30" t="s">
        <v>743</v>
      </c>
      <c r="D268" s="30" t="s">
        <v>250</v>
      </c>
      <c r="E268" s="30" t="s">
        <v>206</v>
      </c>
      <c r="F268" s="30" t="s">
        <v>487</v>
      </c>
      <c r="G268" s="30" t="s">
        <v>233</v>
      </c>
      <c r="H268" s="31" t="s">
        <v>208</v>
      </c>
      <c r="I268" s="30"/>
      <c r="J268" s="30"/>
      <c r="K268" s="32"/>
    </row>
    <row r="269" spans="1:11" x14ac:dyDescent="0.3">
      <c r="A269" s="28"/>
      <c r="B269" s="29" t="s">
        <v>744</v>
      </c>
      <c r="C269" s="30" t="s">
        <v>745</v>
      </c>
      <c r="D269" s="30" t="s">
        <v>125</v>
      </c>
      <c r="E269" s="30" t="s">
        <v>224</v>
      </c>
      <c r="F269" s="30" t="s">
        <v>746</v>
      </c>
      <c r="G269" s="30" t="s">
        <v>379</v>
      </c>
      <c r="H269" s="33" t="s">
        <v>215</v>
      </c>
      <c r="I269" s="30"/>
      <c r="J269" s="30"/>
      <c r="K269" s="32"/>
    </row>
    <row r="270" spans="1:11" x14ac:dyDescent="0.3">
      <c r="A270" s="28"/>
      <c r="B270" s="29" t="s">
        <v>747</v>
      </c>
      <c r="C270" s="30" t="s">
        <v>748</v>
      </c>
      <c r="D270" s="30" t="s">
        <v>125</v>
      </c>
      <c r="E270" s="30" t="s">
        <v>224</v>
      </c>
      <c r="F270" s="30"/>
      <c r="G270" s="30" t="s">
        <v>207</v>
      </c>
      <c r="H270" s="31" t="s">
        <v>208</v>
      </c>
      <c r="I270" s="30"/>
      <c r="J270" s="30"/>
      <c r="K270" s="32"/>
    </row>
    <row r="271" spans="1:11" x14ac:dyDescent="0.3">
      <c r="A271" s="28"/>
      <c r="B271" s="29" t="s">
        <v>167</v>
      </c>
      <c r="C271" s="30" t="s">
        <v>749</v>
      </c>
      <c r="D271" s="30" t="s">
        <v>250</v>
      </c>
      <c r="E271" s="30" t="s">
        <v>206</v>
      </c>
      <c r="F271" s="30" t="s">
        <v>750</v>
      </c>
      <c r="G271" s="30" t="s">
        <v>379</v>
      </c>
      <c r="H271" s="33" t="s">
        <v>215</v>
      </c>
      <c r="I271" s="30"/>
      <c r="J271" s="30"/>
      <c r="K271" s="32"/>
    </row>
    <row r="272" spans="1:11" x14ac:dyDescent="0.3">
      <c r="A272" s="28"/>
      <c r="B272" s="29" t="s">
        <v>180</v>
      </c>
      <c r="C272" s="30" t="s">
        <v>751</v>
      </c>
      <c r="D272" s="30" t="s">
        <v>29</v>
      </c>
      <c r="E272" s="30" t="s">
        <v>206</v>
      </c>
      <c r="F272" s="30"/>
      <c r="G272" s="30" t="s">
        <v>227</v>
      </c>
      <c r="H272" s="33" t="s">
        <v>215</v>
      </c>
      <c r="I272" s="30"/>
      <c r="J272" s="30"/>
      <c r="K272" s="32"/>
    </row>
    <row r="273" spans="1:11" x14ac:dyDescent="0.3">
      <c r="A273" s="28"/>
      <c r="B273" s="29" t="s">
        <v>130</v>
      </c>
      <c r="C273" s="30" t="s">
        <v>752</v>
      </c>
      <c r="D273" s="30" t="s">
        <v>29</v>
      </c>
      <c r="E273" s="30" t="s">
        <v>206</v>
      </c>
      <c r="F273" s="30" t="s">
        <v>373</v>
      </c>
      <c r="G273" s="30" t="s">
        <v>233</v>
      </c>
      <c r="H273" s="31" t="s">
        <v>208</v>
      </c>
      <c r="I273" s="30"/>
      <c r="J273" s="30"/>
      <c r="K273" s="32"/>
    </row>
    <row r="274" spans="1:11" x14ac:dyDescent="0.3">
      <c r="A274" s="28"/>
      <c r="B274" s="29" t="s">
        <v>89</v>
      </c>
      <c r="C274" s="30" t="s">
        <v>753</v>
      </c>
      <c r="D274" s="30" t="s">
        <v>29</v>
      </c>
      <c r="E274" s="30" t="s">
        <v>206</v>
      </c>
      <c r="F274" s="30"/>
      <c r="G274" s="30" t="s">
        <v>207</v>
      </c>
      <c r="H274" s="31" t="s">
        <v>208</v>
      </c>
      <c r="I274" s="30"/>
      <c r="J274" s="30"/>
      <c r="K274" s="32"/>
    </row>
    <row r="275" spans="1:11" x14ac:dyDescent="0.3">
      <c r="A275" s="28"/>
      <c r="B275" s="29" t="s">
        <v>157</v>
      </c>
      <c r="C275" s="30" t="s">
        <v>754</v>
      </c>
      <c r="D275" s="30" t="s">
        <v>29</v>
      </c>
      <c r="E275" s="30" t="s">
        <v>206</v>
      </c>
      <c r="F275" s="30" t="s">
        <v>755</v>
      </c>
      <c r="G275" s="30" t="s">
        <v>159</v>
      </c>
      <c r="H275" s="33" t="s">
        <v>215</v>
      </c>
      <c r="I275" s="30"/>
      <c r="J275" s="30"/>
      <c r="K275" s="32"/>
    </row>
    <row r="276" spans="1:11" x14ac:dyDescent="0.3">
      <c r="A276" s="28"/>
      <c r="B276" s="29" t="s">
        <v>756</v>
      </c>
      <c r="C276" s="30" t="s">
        <v>757</v>
      </c>
      <c r="D276" s="30" t="s">
        <v>29</v>
      </c>
      <c r="E276" s="30" t="s">
        <v>206</v>
      </c>
      <c r="F276" s="30" t="s">
        <v>758</v>
      </c>
      <c r="G276" s="30" t="s">
        <v>233</v>
      </c>
      <c r="H276" s="31" t="s">
        <v>208</v>
      </c>
      <c r="I276" s="30"/>
      <c r="J276" s="30"/>
      <c r="K276" s="32"/>
    </row>
    <row r="277" spans="1:11" x14ac:dyDescent="0.3">
      <c r="A277" s="28"/>
      <c r="B277" s="29" t="s">
        <v>759</v>
      </c>
      <c r="C277" s="30" t="s">
        <v>760</v>
      </c>
      <c r="D277" s="30" t="s">
        <v>125</v>
      </c>
      <c r="E277" s="30" t="s">
        <v>224</v>
      </c>
      <c r="F277" s="30"/>
      <c r="G277" s="30" t="s">
        <v>207</v>
      </c>
      <c r="H277" s="31" t="s">
        <v>208</v>
      </c>
      <c r="I277" s="30"/>
      <c r="J277" s="30"/>
      <c r="K277" s="32"/>
    </row>
    <row r="278" spans="1:11" x14ac:dyDescent="0.3">
      <c r="A278" s="28"/>
      <c r="B278" s="29" t="s">
        <v>8</v>
      </c>
      <c r="C278" s="30" t="s">
        <v>761</v>
      </c>
      <c r="D278" s="30" t="s">
        <v>250</v>
      </c>
      <c r="E278" s="30" t="s">
        <v>206</v>
      </c>
      <c r="F278" s="30"/>
      <c r="G278" s="30" t="s">
        <v>207</v>
      </c>
      <c r="H278" s="31" t="s">
        <v>208</v>
      </c>
      <c r="I278" s="30"/>
      <c r="J278" s="30"/>
      <c r="K278" s="32"/>
    </row>
    <row r="279" spans="1:11" x14ac:dyDescent="0.3">
      <c r="A279" s="28"/>
      <c r="B279" s="29" t="s">
        <v>762</v>
      </c>
      <c r="C279" s="30" t="s">
        <v>763</v>
      </c>
      <c r="D279" s="30" t="s">
        <v>125</v>
      </c>
      <c r="E279" s="30" t="s">
        <v>206</v>
      </c>
      <c r="F279" s="30"/>
      <c r="G279" s="30" t="s">
        <v>207</v>
      </c>
      <c r="H279" s="31" t="s">
        <v>208</v>
      </c>
      <c r="I279" s="30"/>
      <c r="J279" s="30"/>
      <c r="K279" s="32"/>
    </row>
    <row r="280" spans="1:11" x14ac:dyDescent="0.3">
      <c r="A280" s="28"/>
      <c r="B280" s="29" t="s">
        <v>764</v>
      </c>
      <c r="C280" s="30" t="s">
        <v>765</v>
      </c>
      <c r="D280" s="30" t="s">
        <v>125</v>
      </c>
      <c r="E280" s="30" t="s">
        <v>206</v>
      </c>
      <c r="F280" s="30" t="s">
        <v>766</v>
      </c>
      <c r="G280" s="30" t="s">
        <v>214</v>
      </c>
      <c r="H280" s="33" t="s">
        <v>215</v>
      </c>
      <c r="I280" s="30"/>
      <c r="J280" s="30"/>
      <c r="K280" s="32"/>
    </row>
    <row r="281" spans="1:11" x14ac:dyDescent="0.3">
      <c r="A281" s="28"/>
      <c r="B281" s="29" t="s">
        <v>767</v>
      </c>
      <c r="C281" s="30" t="s">
        <v>768</v>
      </c>
      <c r="D281" s="30" t="s">
        <v>125</v>
      </c>
      <c r="E281" s="30" t="s">
        <v>224</v>
      </c>
      <c r="F281" s="30" t="s">
        <v>769</v>
      </c>
      <c r="G281" s="30" t="s">
        <v>214</v>
      </c>
      <c r="H281" s="33" t="s">
        <v>215</v>
      </c>
      <c r="I281" s="30"/>
      <c r="J281" s="30"/>
      <c r="K281" s="32"/>
    </row>
    <row r="282" spans="1:11" x14ac:dyDescent="0.3">
      <c r="A282" s="28"/>
      <c r="B282" s="29" t="s">
        <v>770</v>
      </c>
      <c r="C282" s="30" t="s">
        <v>771</v>
      </c>
      <c r="D282" s="30" t="s">
        <v>218</v>
      </c>
      <c r="E282" s="30" t="s">
        <v>212</v>
      </c>
      <c r="F282" s="30" t="s">
        <v>772</v>
      </c>
      <c r="G282" s="30" t="s">
        <v>159</v>
      </c>
      <c r="H282" s="33" t="s">
        <v>215</v>
      </c>
      <c r="I282" s="30"/>
      <c r="J282" s="30"/>
      <c r="K282" s="32"/>
    </row>
    <row r="283" spans="1:11" x14ac:dyDescent="0.3">
      <c r="A283" s="28"/>
      <c r="B283" s="29" t="s">
        <v>773</v>
      </c>
      <c r="C283" s="30" t="s">
        <v>774</v>
      </c>
      <c r="D283" s="30" t="s">
        <v>29</v>
      </c>
      <c r="E283" s="30" t="s">
        <v>212</v>
      </c>
      <c r="F283" s="30" t="s">
        <v>775</v>
      </c>
      <c r="G283" s="30" t="s">
        <v>285</v>
      </c>
      <c r="H283" s="31" t="s">
        <v>208</v>
      </c>
      <c r="I283" s="30"/>
      <c r="J283" s="30"/>
      <c r="K283" s="32"/>
    </row>
    <row r="284" spans="1:11" x14ac:dyDescent="0.3">
      <c r="A284" s="28"/>
      <c r="B284" s="29" t="s">
        <v>776</v>
      </c>
      <c r="C284" s="30" t="s">
        <v>777</v>
      </c>
      <c r="D284" s="30" t="s">
        <v>29</v>
      </c>
      <c r="E284" s="30" t="s">
        <v>212</v>
      </c>
      <c r="F284" s="30" t="s">
        <v>778</v>
      </c>
      <c r="G284" s="30" t="s">
        <v>159</v>
      </c>
      <c r="H284" s="33" t="s">
        <v>215</v>
      </c>
      <c r="I284" s="30"/>
      <c r="J284" s="30"/>
      <c r="K284" s="32"/>
    </row>
    <row r="285" spans="1:11" x14ac:dyDescent="0.3">
      <c r="A285" s="28"/>
      <c r="B285" s="29" t="s">
        <v>114</v>
      </c>
      <c r="C285" s="30" t="s">
        <v>779</v>
      </c>
      <c r="D285" s="30" t="s">
        <v>29</v>
      </c>
      <c r="E285" s="30" t="s">
        <v>206</v>
      </c>
      <c r="F285" s="30" t="s">
        <v>232</v>
      </c>
      <c r="G285" s="30" t="s">
        <v>233</v>
      </c>
      <c r="H285" s="31" t="s">
        <v>208</v>
      </c>
      <c r="I285" s="30"/>
      <c r="J285" s="30"/>
      <c r="K285" s="32"/>
    </row>
    <row r="286" spans="1:11" x14ac:dyDescent="0.3">
      <c r="A286" s="28"/>
      <c r="B286" s="29" t="s">
        <v>26</v>
      </c>
      <c r="C286" s="30" t="s">
        <v>780</v>
      </c>
      <c r="D286" s="30" t="s">
        <v>27</v>
      </c>
      <c r="E286" s="30" t="s">
        <v>206</v>
      </c>
      <c r="F286" s="30"/>
      <c r="G286" s="30" t="s">
        <v>207</v>
      </c>
      <c r="H286" s="31" t="s">
        <v>208</v>
      </c>
      <c r="I286" s="30"/>
      <c r="J286" s="30"/>
      <c r="K286" s="32"/>
    </row>
    <row r="287" spans="1:11" x14ac:dyDescent="0.3">
      <c r="A287" s="28"/>
      <c r="B287" s="29" t="s">
        <v>781</v>
      </c>
      <c r="C287" s="30" t="s">
        <v>782</v>
      </c>
      <c r="D287" s="30" t="s">
        <v>125</v>
      </c>
      <c r="E287" s="30" t="s">
        <v>224</v>
      </c>
      <c r="F287" s="30"/>
      <c r="G287" s="30" t="s">
        <v>207</v>
      </c>
      <c r="H287" s="31" t="s">
        <v>208</v>
      </c>
      <c r="I287" s="30"/>
      <c r="J287" s="30"/>
      <c r="K287" s="32"/>
    </row>
    <row r="288" spans="1:11" x14ac:dyDescent="0.3">
      <c r="A288" s="28"/>
      <c r="B288" s="29" t="s">
        <v>783</v>
      </c>
      <c r="C288" s="30" t="s">
        <v>784</v>
      </c>
      <c r="D288" s="30" t="s">
        <v>125</v>
      </c>
      <c r="E288" s="30" t="s">
        <v>224</v>
      </c>
      <c r="F288" s="30" t="s">
        <v>785</v>
      </c>
      <c r="G288" s="30" t="s">
        <v>379</v>
      </c>
      <c r="H288" s="33" t="s">
        <v>215</v>
      </c>
      <c r="I288" s="30"/>
      <c r="J288" s="30"/>
      <c r="K288" s="32"/>
    </row>
    <row r="289" spans="1:11" x14ac:dyDescent="0.3">
      <c r="A289" s="28"/>
      <c r="B289" s="29" t="s">
        <v>786</v>
      </c>
      <c r="C289" s="30" t="s">
        <v>787</v>
      </c>
      <c r="D289" s="30" t="s">
        <v>218</v>
      </c>
      <c r="E289" s="30" t="s">
        <v>212</v>
      </c>
      <c r="F289" s="30" t="s">
        <v>788</v>
      </c>
      <c r="G289" s="30" t="s">
        <v>253</v>
      </c>
      <c r="H289" s="31" t="s">
        <v>208</v>
      </c>
      <c r="I289" s="30"/>
      <c r="J289" s="30"/>
      <c r="K289" s="32"/>
    </row>
    <row r="290" spans="1:11" x14ac:dyDescent="0.3">
      <c r="A290" s="28"/>
      <c r="B290" s="29" t="s">
        <v>789</v>
      </c>
      <c r="C290" s="30" t="s">
        <v>790</v>
      </c>
      <c r="D290" s="30" t="s">
        <v>102</v>
      </c>
      <c r="E290" s="30" t="s">
        <v>212</v>
      </c>
      <c r="F290" s="30"/>
      <c r="G290" s="30" t="s">
        <v>227</v>
      </c>
      <c r="H290" s="33" t="s">
        <v>215</v>
      </c>
      <c r="I290" s="30"/>
      <c r="J290" s="30"/>
      <c r="K290" s="32"/>
    </row>
    <row r="291" spans="1:11" x14ac:dyDescent="0.3">
      <c r="A291" s="28"/>
      <c r="B291" s="29" t="s">
        <v>94</v>
      </c>
      <c r="C291" s="30" t="s">
        <v>791</v>
      </c>
      <c r="D291" s="30" t="s">
        <v>29</v>
      </c>
      <c r="E291" s="30" t="s">
        <v>206</v>
      </c>
      <c r="F291" s="30"/>
      <c r="G291" s="30" t="s">
        <v>207</v>
      </c>
      <c r="H291" s="31" t="s">
        <v>208</v>
      </c>
      <c r="I291" s="30"/>
      <c r="J291" s="30"/>
      <c r="K291" s="32"/>
    </row>
    <row r="292" spans="1:11" x14ac:dyDescent="0.3">
      <c r="A292" s="28"/>
      <c r="B292" s="29" t="s">
        <v>792</v>
      </c>
      <c r="C292" s="30" t="s">
        <v>793</v>
      </c>
      <c r="D292" s="30" t="s">
        <v>125</v>
      </c>
      <c r="E292" s="30" t="s">
        <v>224</v>
      </c>
      <c r="F292" s="30" t="s">
        <v>794</v>
      </c>
      <c r="G292" s="30" t="s">
        <v>214</v>
      </c>
      <c r="H292" s="33" t="s">
        <v>215</v>
      </c>
      <c r="I292" s="30"/>
      <c r="J292" s="30"/>
      <c r="K292" s="32"/>
    </row>
    <row r="293" spans="1:11" x14ac:dyDescent="0.3">
      <c r="A293" s="28"/>
      <c r="B293" s="29" t="s">
        <v>795</v>
      </c>
      <c r="C293" s="30" t="s">
        <v>796</v>
      </c>
      <c r="D293" s="30" t="s">
        <v>29</v>
      </c>
      <c r="E293" s="30" t="s">
        <v>206</v>
      </c>
      <c r="F293" s="30" t="s">
        <v>797</v>
      </c>
      <c r="G293" s="30" t="s">
        <v>654</v>
      </c>
      <c r="H293" s="31" t="s">
        <v>208</v>
      </c>
      <c r="I293" s="30"/>
      <c r="J293" s="30"/>
      <c r="K293" s="32"/>
    </row>
    <row r="294" spans="1:11" x14ac:dyDescent="0.3">
      <c r="A294" s="28"/>
      <c r="B294" s="29" t="s">
        <v>798</v>
      </c>
      <c r="C294" s="30" t="s">
        <v>799</v>
      </c>
      <c r="D294" s="30" t="s">
        <v>29</v>
      </c>
      <c r="E294" s="30" t="s">
        <v>206</v>
      </c>
      <c r="F294" s="30"/>
      <c r="G294" s="30" t="s">
        <v>207</v>
      </c>
      <c r="H294" s="31" t="s">
        <v>208</v>
      </c>
      <c r="I294" s="30"/>
      <c r="J294" s="30"/>
      <c r="K294" s="32"/>
    </row>
    <row r="295" spans="1:11" x14ac:dyDescent="0.3">
      <c r="A295" s="28"/>
      <c r="B295" s="29" t="s">
        <v>800</v>
      </c>
      <c r="C295" s="30" t="s">
        <v>801</v>
      </c>
      <c r="D295" s="30" t="s">
        <v>125</v>
      </c>
      <c r="E295" s="30" t="s">
        <v>206</v>
      </c>
      <c r="F295" s="30" t="s">
        <v>802</v>
      </c>
      <c r="G295" s="30" t="s">
        <v>214</v>
      </c>
      <c r="H295" s="33" t="s">
        <v>215</v>
      </c>
      <c r="I295" s="30"/>
      <c r="J295" s="30"/>
      <c r="K295" s="32"/>
    </row>
    <row r="296" spans="1:11" x14ac:dyDescent="0.3">
      <c r="A296" s="28"/>
      <c r="B296" s="29" t="s">
        <v>803</v>
      </c>
      <c r="C296" s="30" t="s">
        <v>804</v>
      </c>
      <c r="D296" s="30" t="s">
        <v>29</v>
      </c>
      <c r="E296" s="30" t="s">
        <v>212</v>
      </c>
      <c r="F296" s="30"/>
      <c r="G296" s="30" t="s">
        <v>207</v>
      </c>
      <c r="H296" s="31" t="s">
        <v>208</v>
      </c>
      <c r="I296" s="30"/>
      <c r="J296" s="30"/>
      <c r="K296" s="32"/>
    </row>
    <row r="297" spans="1:11" x14ac:dyDescent="0.3">
      <c r="A297" s="28"/>
      <c r="B297" s="29" t="s">
        <v>805</v>
      </c>
      <c r="C297" s="30" t="s">
        <v>806</v>
      </c>
      <c r="D297" s="30" t="s">
        <v>29</v>
      </c>
      <c r="E297" s="30" t="s">
        <v>212</v>
      </c>
      <c r="F297" s="30"/>
      <c r="G297" s="30" t="s">
        <v>207</v>
      </c>
      <c r="H297" s="31" t="s">
        <v>208</v>
      </c>
      <c r="I297" s="30"/>
      <c r="J297" s="30"/>
      <c r="K297" s="32"/>
    </row>
    <row r="298" spans="1:11" x14ac:dyDescent="0.3">
      <c r="A298" s="28"/>
      <c r="B298" s="29" t="s">
        <v>116</v>
      </c>
      <c r="C298" s="30" t="s">
        <v>807</v>
      </c>
      <c r="D298" s="30" t="s">
        <v>102</v>
      </c>
      <c r="E298" s="30" t="s">
        <v>206</v>
      </c>
      <c r="F298" s="30"/>
      <c r="G298" s="30" t="s">
        <v>207</v>
      </c>
      <c r="H298" s="31" t="s">
        <v>208</v>
      </c>
      <c r="I298" s="30"/>
      <c r="J298" s="30"/>
      <c r="K298" s="32"/>
    </row>
    <row r="299" spans="1:11" x14ac:dyDescent="0.3">
      <c r="A299" s="28"/>
      <c r="B299" s="29" t="s">
        <v>99</v>
      </c>
      <c r="C299" s="30" t="s">
        <v>808</v>
      </c>
      <c r="D299" s="30" t="s">
        <v>29</v>
      </c>
      <c r="E299" s="30" t="s">
        <v>206</v>
      </c>
      <c r="F299" s="30" t="s">
        <v>512</v>
      </c>
      <c r="G299" s="30" t="s">
        <v>207</v>
      </c>
      <c r="H299" s="31" t="s">
        <v>208</v>
      </c>
      <c r="I299" s="30"/>
      <c r="J299" s="30"/>
      <c r="K299" s="32"/>
    </row>
    <row r="300" spans="1:11" x14ac:dyDescent="0.3">
      <c r="A300" s="28"/>
      <c r="B300" s="29" t="s">
        <v>85</v>
      </c>
      <c r="C300" s="30" t="s">
        <v>809</v>
      </c>
      <c r="D300" s="30" t="s">
        <v>29</v>
      </c>
      <c r="E300" s="30" t="s">
        <v>206</v>
      </c>
      <c r="F300" s="30"/>
      <c r="G300" s="30" t="s">
        <v>207</v>
      </c>
      <c r="H300" s="31" t="s">
        <v>208</v>
      </c>
      <c r="I300" s="30"/>
      <c r="J300" s="30"/>
      <c r="K300" s="32"/>
    </row>
    <row r="301" spans="1:11" x14ac:dyDescent="0.3">
      <c r="A301" s="28"/>
      <c r="B301" s="29" t="s">
        <v>810</v>
      </c>
      <c r="C301" s="30" t="s">
        <v>811</v>
      </c>
      <c r="D301" s="30" t="s">
        <v>125</v>
      </c>
      <c r="E301" s="30" t="s">
        <v>224</v>
      </c>
      <c r="F301" s="30"/>
      <c r="G301" s="30" t="s">
        <v>207</v>
      </c>
      <c r="H301" s="31" t="s">
        <v>208</v>
      </c>
      <c r="I301" s="30"/>
      <c r="J301" s="30"/>
      <c r="K301" s="32"/>
    </row>
    <row r="302" spans="1:11" x14ac:dyDescent="0.3">
      <c r="A302" s="28"/>
      <c r="B302" s="29" t="s">
        <v>34</v>
      </c>
      <c r="C302" s="30" t="s">
        <v>812</v>
      </c>
      <c r="D302" s="30" t="s">
        <v>29</v>
      </c>
      <c r="E302" s="30" t="s">
        <v>206</v>
      </c>
      <c r="F302" s="30"/>
      <c r="G302" s="30" t="s">
        <v>207</v>
      </c>
      <c r="H302" s="31" t="s">
        <v>208</v>
      </c>
      <c r="I302" s="30"/>
      <c r="J302" s="30"/>
      <c r="K302" s="32"/>
    </row>
    <row r="303" spans="1:11" x14ac:dyDescent="0.3">
      <c r="A303" s="28"/>
      <c r="B303" s="29" t="s">
        <v>813</v>
      </c>
      <c r="C303" s="30" t="s">
        <v>814</v>
      </c>
      <c r="D303" s="30" t="s">
        <v>125</v>
      </c>
      <c r="E303" s="30" t="s">
        <v>206</v>
      </c>
      <c r="F303" s="30"/>
      <c r="G303" s="30" t="s">
        <v>207</v>
      </c>
      <c r="H303" s="31" t="s">
        <v>208</v>
      </c>
      <c r="I303" s="30"/>
      <c r="J303" s="30"/>
      <c r="K303" s="32"/>
    </row>
    <row r="304" spans="1:11" x14ac:dyDescent="0.3">
      <c r="A304" s="28"/>
      <c r="B304" s="29" t="s">
        <v>815</v>
      </c>
      <c r="C304" s="30" t="s">
        <v>816</v>
      </c>
      <c r="D304" s="30" t="s">
        <v>218</v>
      </c>
      <c r="E304" s="30" t="s">
        <v>212</v>
      </c>
      <c r="F304" s="30" t="s">
        <v>621</v>
      </c>
      <c r="G304" s="30" t="s">
        <v>285</v>
      </c>
      <c r="H304" s="31" t="s">
        <v>208</v>
      </c>
      <c r="I304" s="30"/>
      <c r="J304" s="30"/>
      <c r="K304" s="32"/>
    </row>
    <row r="305" spans="1:11" x14ac:dyDescent="0.3">
      <c r="A305" s="28"/>
      <c r="B305" s="29" t="s">
        <v>107</v>
      </c>
      <c r="C305" s="30" t="s">
        <v>817</v>
      </c>
      <c r="D305" s="30" t="s">
        <v>102</v>
      </c>
      <c r="E305" s="30" t="s">
        <v>206</v>
      </c>
      <c r="F305" s="30"/>
      <c r="G305" s="30" t="s">
        <v>207</v>
      </c>
      <c r="H305" s="31" t="s">
        <v>208</v>
      </c>
      <c r="I305" s="30"/>
      <c r="J305" s="30"/>
      <c r="K305" s="32"/>
    </row>
    <row r="306" spans="1:11" x14ac:dyDescent="0.3">
      <c r="A306" s="28"/>
      <c r="B306" s="29" t="s">
        <v>818</v>
      </c>
      <c r="C306" s="30" t="s">
        <v>819</v>
      </c>
      <c r="D306" s="30" t="s">
        <v>125</v>
      </c>
      <c r="E306" s="30" t="s">
        <v>206</v>
      </c>
      <c r="F306" s="30"/>
      <c r="G306" s="30" t="s">
        <v>207</v>
      </c>
      <c r="H306" s="31" t="s">
        <v>208</v>
      </c>
      <c r="I306" s="30"/>
      <c r="J306" s="30"/>
      <c r="K306" s="32"/>
    </row>
    <row r="307" spans="1:11" x14ac:dyDescent="0.3">
      <c r="A307" s="28"/>
      <c r="B307" s="29" t="s">
        <v>69</v>
      </c>
      <c r="C307" s="30" t="s">
        <v>820</v>
      </c>
      <c r="D307" s="30" t="s">
        <v>29</v>
      </c>
      <c r="E307" s="30" t="s">
        <v>206</v>
      </c>
      <c r="F307" s="30"/>
      <c r="G307" s="30" t="s">
        <v>207</v>
      </c>
      <c r="H307" s="31" t="s">
        <v>208</v>
      </c>
      <c r="I307" s="30"/>
      <c r="J307" s="30"/>
      <c r="K307" s="32"/>
    </row>
    <row r="308" spans="1:11" x14ac:dyDescent="0.3">
      <c r="A308" s="28"/>
      <c r="B308" s="29" t="s">
        <v>821</v>
      </c>
      <c r="C308" s="30" t="s">
        <v>822</v>
      </c>
      <c r="D308" s="30" t="s">
        <v>29</v>
      </c>
      <c r="E308" s="30" t="s">
        <v>206</v>
      </c>
      <c r="F308" s="30"/>
      <c r="G308" s="30" t="s">
        <v>207</v>
      </c>
      <c r="H308" s="31" t="s">
        <v>208</v>
      </c>
      <c r="I308" s="30"/>
      <c r="J308" s="30"/>
      <c r="K308" s="32"/>
    </row>
    <row r="309" spans="1:11" x14ac:dyDescent="0.3">
      <c r="A309" s="28"/>
      <c r="B309" s="29" t="s">
        <v>185</v>
      </c>
      <c r="C309" s="30" t="s">
        <v>823</v>
      </c>
      <c r="D309" s="30" t="s">
        <v>29</v>
      </c>
      <c r="E309" s="30" t="s">
        <v>206</v>
      </c>
      <c r="F309" s="30" t="s">
        <v>252</v>
      </c>
      <c r="G309" s="30" t="s">
        <v>227</v>
      </c>
      <c r="H309" s="33" t="s">
        <v>215</v>
      </c>
      <c r="I309" s="30"/>
      <c r="J309" s="30"/>
      <c r="K309" s="32"/>
    </row>
    <row r="310" spans="1:11" x14ac:dyDescent="0.3">
      <c r="A310" s="28"/>
      <c r="B310" s="29" t="s">
        <v>70</v>
      </c>
      <c r="C310" s="30" t="s">
        <v>824</v>
      </c>
      <c r="D310" s="30" t="s">
        <v>29</v>
      </c>
      <c r="E310" s="30" t="s">
        <v>206</v>
      </c>
      <c r="F310" s="30" t="s">
        <v>410</v>
      </c>
      <c r="G310" s="30" t="s">
        <v>207</v>
      </c>
      <c r="H310" s="31" t="s">
        <v>208</v>
      </c>
      <c r="I310" s="30"/>
      <c r="J310" s="30"/>
      <c r="K310" s="32"/>
    </row>
    <row r="311" spans="1:11" x14ac:dyDescent="0.3">
      <c r="A311" s="28"/>
      <c r="B311" s="29" t="s">
        <v>825</v>
      </c>
      <c r="C311" s="30" t="s">
        <v>826</v>
      </c>
      <c r="D311" s="30" t="s">
        <v>125</v>
      </c>
      <c r="E311" s="30" t="s">
        <v>224</v>
      </c>
      <c r="F311" s="30"/>
      <c r="G311" s="30" t="s">
        <v>207</v>
      </c>
      <c r="H311" s="31" t="s">
        <v>208</v>
      </c>
      <c r="I311" s="30"/>
      <c r="J311" s="30"/>
      <c r="K311" s="32"/>
    </row>
    <row r="312" spans="1:11" x14ac:dyDescent="0.3">
      <c r="A312" s="28"/>
      <c r="B312" s="29" t="s">
        <v>126</v>
      </c>
      <c r="C312" s="30" t="s">
        <v>827</v>
      </c>
      <c r="D312" s="30" t="s">
        <v>29</v>
      </c>
      <c r="E312" s="30" t="s">
        <v>206</v>
      </c>
      <c r="F312" s="30" t="s">
        <v>442</v>
      </c>
      <c r="G312" s="30" t="s">
        <v>233</v>
      </c>
      <c r="H312" s="31" t="s">
        <v>208</v>
      </c>
      <c r="I312" s="30"/>
      <c r="J312" s="30"/>
      <c r="K312" s="32"/>
    </row>
    <row r="313" spans="1:11" x14ac:dyDescent="0.3">
      <c r="A313" s="28"/>
      <c r="B313" s="29" t="s">
        <v>828</v>
      </c>
      <c r="C313" s="30" t="s">
        <v>829</v>
      </c>
      <c r="D313" s="30" t="s">
        <v>125</v>
      </c>
      <c r="E313" s="30" t="s">
        <v>224</v>
      </c>
      <c r="F313" s="30"/>
      <c r="G313" s="30" t="s">
        <v>207</v>
      </c>
      <c r="H313" s="31" t="s">
        <v>208</v>
      </c>
      <c r="I313" s="30"/>
      <c r="J313" s="30"/>
      <c r="K313" s="32"/>
    </row>
    <row r="314" spans="1:11" x14ac:dyDescent="0.3">
      <c r="A314" s="28"/>
      <c r="B314" s="29" t="s">
        <v>830</v>
      </c>
      <c r="C314" s="30" t="s">
        <v>831</v>
      </c>
      <c r="D314" s="30" t="s">
        <v>125</v>
      </c>
      <c r="E314" s="30" t="s">
        <v>224</v>
      </c>
      <c r="F314" s="30"/>
      <c r="G314" s="30" t="s">
        <v>207</v>
      </c>
      <c r="H314" s="31" t="s">
        <v>208</v>
      </c>
      <c r="I314" s="30"/>
      <c r="J314" s="30"/>
      <c r="K314" s="32"/>
    </row>
    <row r="315" spans="1:11" x14ac:dyDescent="0.3">
      <c r="A315" s="28"/>
      <c r="B315" s="29" t="s">
        <v>832</v>
      </c>
      <c r="C315" s="30" t="s">
        <v>833</v>
      </c>
      <c r="D315" s="30" t="s">
        <v>29</v>
      </c>
      <c r="E315" s="30" t="s">
        <v>212</v>
      </c>
      <c r="F315" s="30" t="s">
        <v>834</v>
      </c>
      <c r="G315" s="30" t="s">
        <v>214</v>
      </c>
      <c r="H315" s="33" t="s">
        <v>215</v>
      </c>
      <c r="I315" s="30"/>
      <c r="J315" s="30"/>
      <c r="K315" s="32"/>
    </row>
    <row r="316" spans="1:11" x14ac:dyDescent="0.3">
      <c r="A316" s="28"/>
      <c r="B316" s="29" t="s">
        <v>128</v>
      </c>
      <c r="C316" s="30" t="s">
        <v>835</v>
      </c>
      <c r="D316" s="30" t="s">
        <v>125</v>
      </c>
      <c r="E316" s="30" t="s">
        <v>206</v>
      </c>
      <c r="F316" s="30" t="s">
        <v>232</v>
      </c>
      <c r="G316" s="30" t="s">
        <v>233</v>
      </c>
      <c r="H316" s="31" t="s">
        <v>208</v>
      </c>
      <c r="I316" s="30"/>
      <c r="J316" s="30"/>
      <c r="K316" s="32"/>
    </row>
    <row r="317" spans="1:11" x14ac:dyDescent="0.3">
      <c r="A317" s="28"/>
      <c r="B317" s="29" t="s">
        <v>172</v>
      </c>
      <c r="C317" s="30" t="s">
        <v>836</v>
      </c>
      <c r="D317" s="30" t="s">
        <v>29</v>
      </c>
      <c r="E317" s="30" t="s">
        <v>206</v>
      </c>
      <c r="F317" s="30" t="s">
        <v>837</v>
      </c>
      <c r="G317" s="30" t="s">
        <v>379</v>
      </c>
      <c r="H317" s="33" t="s">
        <v>215</v>
      </c>
      <c r="I317" s="30"/>
      <c r="J317" s="30"/>
      <c r="K317" s="32"/>
    </row>
    <row r="318" spans="1:11" x14ac:dyDescent="0.3">
      <c r="A318" s="28"/>
      <c r="B318" s="29" t="s">
        <v>151</v>
      </c>
      <c r="C318" s="30" t="s">
        <v>838</v>
      </c>
      <c r="D318" s="30" t="s">
        <v>29</v>
      </c>
      <c r="E318" s="30" t="s">
        <v>206</v>
      </c>
      <c r="F318" s="30" t="s">
        <v>839</v>
      </c>
      <c r="G318" s="30" t="s">
        <v>159</v>
      </c>
      <c r="H318" s="33" t="s">
        <v>215</v>
      </c>
      <c r="I318" s="30"/>
      <c r="J318" s="30"/>
      <c r="K318" s="32"/>
    </row>
    <row r="319" spans="1:11" x14ac:dyDescent="0.3">
      <c r="A319" s="28"/>
      <c r="B319" s="29" t="s">
        <v>840</v>
      </c>
      <c r="C319" s="30" t="s">
        <v>841</v>
      </c>
      <c r="D319" s="30" t="s">
        <v>125</v>
      </c>
      <c r="E319" s="30" t="s">
        <v>224</v>
      </c>
      <c r="F319" s="30"/>
      <c r="G319" s="30" t="s">
        <v>207</v>
      </c>
      <c r="H319" s="31" t="s">
        <v>208</v>
      </c>
      <c r="I319" s="30"/>
      <c r="J319" s="30"/>
      <c r="K319" s="32"/>
    </row>
    <row r="320" spans="1:11" x14ac:dyDescent="0.3">
      <c r="A320" s="28"/>
      <c r="B320" s="29" t="s">
        <v>14</v>
      </c>
      <c r="C320" s="30" t="s">
        <v>842</v>
      </c>
      <c r="D320" s="30" t="s">
        <v>250</v>
      </c>
      <c r="E320" s="30" t="s">
        <v>206</v>
      </c>
      <c r="F320" s="30"/>
      <c r="G320" s="30" t="s">
        <v>207</v>
      </c>
      <c r="H320" s="31" t="s">
        <v>208</v>
      </c>
      <c r="I320" s="30"/>
      <c r="J320" s="30"/>
      <c r="K320" s="32"/>
    </row>
    <row r="321" spans="1:11" x14ac:dyDescent="0.3">
      <c r="A321" s="28"/>
      <c r="B321" s="29" t="s">
        <v>843</v>
      </c>
      <c r="C321" s="30" t="s">
        <v>844</v>
      </c>
      <c r="D321" s="30" t="s">
        <v>29</v>
      </c>
      <c r="E321" s="30" t="s">
        <v>212</v>
      </c>
      <c r="F321" s="30"/>
      <c r="G321" s="30" t="s">
        <v>227</v>
      </c>
      <c r="H321" s="33" t="s">
        <v>215</v>
      </c>
      <c r="I321" s="30"/>
      <c r="J321" s="30"/>
      <c r="K321" s="32"/>
    </row>
    <row r="322" spans="1:11" x14ac:dyDescent="0.3">
      <c r="A322" s="28"/>
      <c r="B322" s="29" t="s">
        <v>51</v>
      </c>
      <c r="C322" s="30" t="s">
        <v>845</v>
      </c>
      <c r="D322" s="30" t="s">
        <v>29</v>
      </c>
      <c r="E322" s="30" t="s">
        <v>206</v>
      </c>
      <c r="F322" s="30"/>
      <c r="G322" s="30" t="s">
        <v>207</v>
      </c>
      <c r="H322" s="31" t="s">
        <v>208</v>
      </c>
      <c r="I322" s="30"/>
      <c r="J322" s="30"/>
      <c r="K322" s="32"/>
    </row>
    <row r="323" spans="1:11" x14ac:dyDescent="0.3">
      <c r="A323" s="28"/>
      <c r="B323" s="29" t="s">
        <v>111</v>
      </c>
      <c r="C323" s="30" t="s">
        <v>846</v>
      </c>
      <c r="D323" s="30" t="s">
        <v>102</v>
      </c>
      <c r="E323" s="30" t="s">
        <v>206</v>
      </c>
      <c r="F323" s="30"/>
      <c r="G323" s="30" t="s">
        <v>207</v>
      </c>
      <c r="H323" s="31" t="s">
        <v>208</v>
      </c>
      <c r="I323" s="30"/>
      <c r="J323" s="30"/>
      <c r="K323" s="32"/>
    </row>
    <row r="324" spans="1:11" x14ac:dyDescent="0.3">
      <c r="A324" s="28"/>
      <c r="B324" s="29" t="s">
        <v>25</v>
      </c>
      <c r="C324" s="30" t="s">
        <v>847</v>
      </c>
      <c r="D324" s="30" t="s">
        <v>250</v>
      </c>
      <c r="E324" s="30" t="s">
        <v>206</v>
      </c>
      <c r="F324" s="30"/>
      <c r="G324" s="30" t="s">
        <v>207</v>
      </c>
      <c r="H324" s="31" t="s">
        <v>208</v>
      </c>
      <c r="I324" s="30"/>
      <c r="J324" s="30"/>
      <c r="K324" s="32"/>
    </row>
    <row r="325" spans="1:11" x14ac:dyDescent="0.3">
      <c r="A325" s="28"/>
      <c r="B325" s="29" t="s">
        <v>848</v>
      </c>
      <c r="C325" s="30" t="s">
        <v>849</v>
      </c>
      <c r="D325" s="30" t="s">
        <v>125</v>
      </c>
      <c r="E325" s="30" t="s">
        <v>206</v>
      </c>
      <c r="F325" s="30"/>
      <c r="G325" s="30" t="s">
        <v>207</v>
      </c>
      <c r="H325" s="31" t="s">
        <v>208</v>
      </c>
      <c r="I325" s="30"/>
      <c r="J325" s="30"/>
      <c r="K325" s="32"/>
    </row>
    <row r="326" spans="1:11" x14ac:dyDescent="0.3">
      <c r="A326" s="28"/>
      <c r="B326" s="29" t="s">
        <v>850</v>
      </c>
      <c r="C326" s="30" t="s">
        <v>851</v>
      </c>
      <c r="D326" s="30" t="s">
        <v>125</v>
      </c>
      <c r="E326" s="30" t="s">
        <v>224</v>
      </c>
      <c r="F326" s="30"/>
      <c r="G326" s="30" t="s">
        <v>207</v>
      </c>
      <c r="H326" s="31" t="s">
        <v>208</v>
      </c>
      <c r="I326" s="30"/>
      <c r="J326" s="30"/>
      <c r="K326" s="32"/>
    </row>
    <row r="327" spans="1:11" x14ac:dyDescent="0.3">
      <c r="A327" s="28"/>
      <c r="B327" s="29" t="s">
        <v>852</v>
      </c>
      <c r="C327" s="30" t="s">
        <v>853</v>
      </c>
      <c r="D327" s="30" t="s">
        <v>218</v>
      </c>
      <c r="E327" s="30" t="s">
        <v>212</v>
      </c>
      <c r="F327" s="30"/>
      <c r="G327" s="30" t="s">
        <v>207</v>
      </c>
      <c r="H327" s="31" t="s">
        <v>208</v>
      </c>
      <c r="I327" s="30"/>
      <c r="J327" s="30"/>
      <c r="K327" s="32"/>
    </row>
    <row r="328" spans="1:11" x14ac:dyDescent="0.3">
      <c r="A328" s="28"/>
      <c r="B328" s="29" t="s">
        <v>104</v>
      </c>
      <c r="C328" s="30" t="s">
        <v>854</v>
      </c>
      <c r="D328" s="30" t="s">
        <v>102</v>
      </c>
      <c r="E328" s="30" t="s">
        <v>206</v>
      </c>
      <c r="F328" s="30"/>
      <c r="G328" s="30" t="s">
        <v>207</v>
      </c>
      <c r="H328" s="31" t="s">
        <v>208</v>
      </c>
      <c r="I328" s="30"/>
      <c r="J328" s="30"/>
      <c r="K328" s="32"/>
    </row>
    <row r="329" spans="1:11" x14ac:dyDescent="0.3">
      <c r="A329" s="28"/>
      <c r="B329" s="29" t="s">
        <v>855</v>
      </c>
      <c r="C329" s="30" t="s">
        <v>856</v>
      </c>
      <c r="D329" s="30" t="s">
        <v>125</v>
      </c>
      <c r="E329" s="30" t="s">
        <v>206</v>
      </c>
      <c r="F329" s="30" t="s">
        <v>857</v>
      </c>
      <c r="G329" s="30" t="s">
        <v>269</v>
      </c>
      <c r="H329" s="33" t="s">
        <v>215</v>
      </c>
      <c r="I329" s="30"/>
      <c r="J329" s="30"/>
      <c r="K329" s="32"/>
    </row>
    <row r="330" spans="1:11" x14ac:dyDescent="0.3">
      <c r="A330" s="28"/>
      <c r="B330" s="29" t="s">
        <v>858</v>
      </c>
      <c r="C330" s="30" t="s">
        <v>859</v>
      </c>
      <c r="D330" s="30" t="s">
        <v>29</v>
      </c>
      <c r="E330" s="30" t="s">
        <v>212</v>
      </c>
      <c r="F330" s="30"/>
      <c r="G330" s="30" t="s">
        <v>207</v>
      </c>
      <c r="H330" s="31" t="s">
        <v>208</v>
      </c>
      <c r="I330" s="30"/>
      <c r="J330" s="30"/>
      <c r="K330" s="32"/>
    </row>
    <row r="331" spans="1:11" x14ac:dyDescent="0.3">
      <c r="A331" s="28"/>
      <c r="B331" s="29" t="s">
        <v>136</v>
      </c>
      <c r="C331" s="30" t="s">
        <v>860</v>
      </c>
      <c r="D331" s="30" t="s">
        <v>29</v>
      </c>
      <c r="E331" s="30" t="s">
        <v>206</v>
      </c>
      <c r="F331" s="30" t="s">
        <v>861</v>
      </c>
      <c r="G331" s="30" t="s">
        <v>253</v>
      </c>
      <c r="H331" s="31" t="s">
        <v>208</v>
      </c>
      <c r="I331" s="30"/>
      <c r="J331" s="30"/>
      <c r="K331" s="32"/>
    </row>
    <row r="332" spans="1:11" x14ac:dyDescent="0.3">
      <c r="A332" s="28"/>
      <c r="B332" s="29" t="s">
        <v>862</v>
      </c>
      <c r="C332" s="30" t="s">
        <v>863</v>
      </c>
      <c r="D332" s="30" t="s">
        <v>125</v>
      </c>
      <c r="E332" s="30" t="s">
        <v>206</v>
      </c>
      <c r="F332" s="30"/>
      <c r="G332" s="30" t="s">
        <v>207</v>
      </c>
      <c r="H332" s="31" t="s">
        <v>208</v>
      </c>
      <c r="I332" s="30"/>
      <c r="J332" s="30"/>
      <c r="K332" s="32"/>
    </row>
    <row r="333" spans="1:11" x14ac:dyDescent="0.3">
      <c r="A333" s="28"/>
      <c r="B333" s="29" t="s">
        <v>864</v>
      </c>
      <c r="C333" s="30" t="s">
        <v>865</v>
      </c>
      <c r="D333" s="30" t="s">
        <v>250</v>
      </c>
      <c r="E333" s="30" t="s">
        <v>206</v>
      </c>
      <c r="F333" s="30" t="s">
        <v>405</v>
      </c>
      <c r="G333" s="30" t="s">
        <v>253</v>
      </c>
      <c r="H333" s="31" t="s">
        <v>208</v>
      </c>
      <c r="I333" s="30"/>
      <c r="J333" s="30"/>
      <c r="K333" s="32"/>
    </row>
    <row r="334" spans="1:11" x14ac:dyDescent="0.3">
      <c r="A334" s="28"/>
      <c r="B334" s="29" t="s">
        <v>866</v>
      </c>
      <c r="C334" s="30" t="s">
        <v>867</v>
      </c>
      <c r="D334" s="30" t="s">
        <v>29</v>
      </c>
      <c r="E334" s="30" t="s">
        <v>212</v>
      </c>
      <c r="F334" s="30" t="s">
        <v>868</v>
      </c>
      <c r="G334" s="30" t="s">
        <v>233</v>
      </c>
      <c r="H334" s="31" t="s">
        <v>208</v>
      </c>
      <c r="I334" s="30"/>
      <c r="J334" s="30"/>
      <c r="K334" s="32"/>
    </row>
    <row r="335" spans="1:11" x14ac:dyDescent="0.3">
      <c r="A335" s="28"/>
      <c r="B335" s="29" t="s">
        <v>12</v>
      </c>
      <c r="C335" s="30" t="s">
        <v>869</v>
      </c>
      <c r="D335" s="30" t="s">
        <v>250</v>
      </c>
      <c r="E335" s="30" t="s">
        <v>206</v>
      </c>
      <c r="F335" s="30"/>
      <c r="G335" s="30" t="s">
        <v>207</v>
      </c>
      <c r="H335" s="31" t="s">
        <v>208</v>
      </c>
      <c r="I335" s="30"/>
      <c r="J335" s="30"/>
      <c r="K335" s="32"/>
    </row>
    <row r="336" spans="1:11" x14ac:dyDescent="0.3">
      <c r="A336" s="28"/>
      <c r="B336" s="29" t="s">
        <v>870</v>
      </c>
      <c r="C336" s="30" t="s">
        <v>871</v>
      </c>
      <c r="D336" s="30" t="s">
        <v>125</v>
      </c>
      <c r="E336" s="30" t="s">
        <v>224</v>
      </c>
      <c r="F336" s="30"/>
      <c r="G336" s="30" t="s">
        <v>207</v>
      </c>
      <c r="H336" s="31" t="s">
        <v>208</v>
      </c>
      <c r="I336" s="30"/>
      <c r="J336" s="30"/>
      <c r="K336" s="32"/>
    </row>
    <row r="337" spans="1:11" x14ac:dyDescent="0.3">
      <c r="A337" s="28"/>
      <c r="B337" s="29" t="s">
        <v>872</v>
      </c>
      <c r="C337" s="30" t="s">
        <v>873</v>
      </c>
      <c r="D337" s="30" t="s">
        <v>125</v>
      </c>
      <c r="E337" s="30" t="s">
        <v>224</v>
      </c>
      <c r="F337" s="30"/>
      <c r="G337" s="30" t="s">
        <v>227</v>
      </c>
      <c r="H337" s="33" t="s">
        <v>215</v>
      </c>
      <c r="I337" s="30"/>
      <c r="J337" s="30"/>
      <c r="K337" s="32"/>
    </row>
    <row r="338" spans="1:11" x14ac:dyDescent="0.3">
      <c r="A338" s="28"/>
      <c r="B338" s="29" t="s">
        <v>82</v>
      </c>
      <c r="C338" s="30" t="s">
        <v>874</v>
      </c>
      <c r="D338" s="30" t="s">
        <v>29</v>
      </c>
      <c r="E338" s="30" t="s">
        <v>206</v>
      </c>
      <c r="F338" s="30"/>
      <c r="G338" s="30" t="s">
        <v>207</v>
      </c>
      <c r="H338" s="31" t="s">
        <v>208</v>
      </c>
      <c r="I338" s="30"/>
      <c r="J338" s="30"/>
      <c r="K338" s="32"/>
    </row>
    <row r="339" spans="1:11" x14ac:dyDescent="0.3">
      <c r="A339" s="28"/>
      <c r="B339" s="29" t="s">
        <v>875</v>
      </c>
      <c r="C339" s="30" t="s">
        <v>876</v>
      </c>
      <c r="D339" s="30" t="s">
        <v>29</v>
      </c>
      <c r="E339" s="30" t="s">
        <v>206</v>
      </c>
      <c r="F339" s="30" t="s">
        <v>232</v>
      </c>
      <c r="G339" s="30" t="s">
        <v>233</v>
      </c>
      <c r="H339" s="31" t="s">
        <v>208</v>
      </c>
      <c r="I339" s="30"/>
      <c r="J339" s="30"/>
      <c r="K339" s="32"/>
    </row>
    <row r="340" spans="1:11" x14ac:dyDescent="0.3">
      <c r="A340" s="28"/>
      <c r="B340" s="29" t="s">
        <v>877</v>
      </c>
      <c r="C340" s="30" t="s">
        <v>878</v>
      </c>
      <c r="D340" s="30" t="s">
        <v>125</v>
      </c>
      <c r="E340" s="30" t="s">
        <v>224</v>
      </c>
      <c r="F340" s="30"/>
      <c r="G340" s="30" t="s">
        <v>207</v>
      </c>
      <c r="H340" s="31" t="s">
        <v>208</v>
      </c>
      <c r="I340" s="30"/>
      <c r="J340" s="30"/>
      <c r="K340" s="32"/>
    </row>
    <row r="341" spans="1:11" x14ac:dyDescent="0.3">
      <c r="A341" s="28"/>
      <c r="B341" s="29" t="s">
        <v>879</v>
      </c>
      <c r="C341" s="30" t="s">
        <v>880</v>
      </c>
      <c r="D341" s="30" t="s">
        <v>125</v>
      </c>
      <c r="E341" s="30" t="s">
        <v>224</v>
      </c>
      <c r="F341" s="30"/>
      <c r="G341" s="30" t="s">
        <v>227</v>
      </c>
      <c r="H341" s="33" t="s">
        <v>215</v>
      </c>
      <c r="I341" s="30"/>
      <c r="J341" s="30"/>
      <c r="K341" s="32"/>
    </row>
    <row r="342" spans="1:11" x14ac:dyDescent="0.3">
      <c r="A342" s="28"/>
      <c r="B342" s="29" t="s">
        <v>119</v>
      </c>
      <c r="C342" s="30" t="s">
        <v>881</v>
      </c>
      <c r="D342" s="30" t="s">
        <v>29</v>
      </c>
      <c r="E342" s="30" t="s">
        <v>206</v>
      </c>
      <c r="F342" s="30" t="s">
        <v>442</v>
      </c>
      <c r="G342" s="30" t="s">
        <v>233</v>
      </c>
      <c r="H342" s="31" t="s">
        <v>208</v>
      </c>
      <c r="I342" s="30"/>
      <c r="J342" s="30"/>
      <c r="K342" s="32"/>
    </row>
    <row r="343" spans="1:11" x14ac:dyDescent="0.3">
      <c r="A343" s="28"/>
      <c r="B343" s="29" t="s">
        <v>882</v>
      </c>
      <c r="C343" s="30" t="s">
        <v>883</v>
      </c>
      <c r="D343" s="30" t="s">
        <v>274</v>
      </c>
      <c r="E343" s="30" t="s">
        <v>212</v>
      </c>
      <c r="F343" s="30"/>
      <c r="G343" s="30" t="s">
        <v>227</v>
      </c>
      <c r="H343" s="33" t="s">
        <v>215</v>
      </c>
      <c r="I343" s="30"/>
      <c r="J343" s="30"/>
      <c r="K343" s="32"/>
    </row>
    <row r="344" spans="1:11" x14ac:dyDescent="0.3">
      <c r="A344" s="28"/>
      <c r="B344" s="29" t="s">
        <v>884</v>
      </c>
      <c r="C344" s="30" t="s">
        <v>885</v>
      </c>
      <c r="D344" s="30" t="s">
        <v>29</v>
      </c>
      <c r="E344" s="30" t="s">
        <v>212</v>
      </c>
      <c r="F344" s="30" t="s">
        <v>886</v>
      </c>
      <c r="G344" s="30" t="s">
        <v>159</v>
      </c>
      <c r="H344" s="33" t="s">
        <v>215</v>
      </c>
      <c r="I344" s="30"/>
      <c r="J344" s="30"/>
      <c r="K344" s="32"/>
    </row>
    <row r="345" spans="1:11" x14ac:dyDescent="0.3">
      <c r="A345" s="28"/>
      <c r="B345" s="29" t="s">
        <v>73</v>
      </c>
      <c r="C345" s="30" t="s">
        <v>887</v>
      </c>
      <c r="D345" s="30" t="s">
        <v>29</v>
      </c>
      <c r="E345" s="30" t="s">
        <v>206</v>
      </c>
      <c r="F345" s="30"/>
      <c r="G345" s="30" t="s">
        <v>207</v>
      </c>
      <c r="H345" s="31" t="s">
        <v>208</v>
      </c>
      <c r="I345" s="30"/>
      <c r="J345" s="30"/>
      <c r="K345" s="32"/>
    </row>
    <row r="346" spans="1:11" x14ac:dyDescent="0.3">
      <c r="A346" s="28"/>
      <c r="B346" s="29" t="s">
        <v>76</v>
      </c>
      <c r="C346" s="30" t="s">
        <v>888</v>
      </c>
      <c r="D346" s="30" t="s">
        <v>29</v>
      </c>
      <c r="E346" s="30" t="s">
        <v>206</v>
      </c>
      <c r="F346" s="30"/>
      <c r="G346" s="30" t="s">
        <v>207</v>
      </c>
      <c r="H346" s="31" t="s">
        <v>208</v>
      </c>
      <c r="I346" s="30"/>
      <c r="J346" s="30"/>
      <c r="K346" s="32"/>
    </row>
    <row r="347" spans="1:11" x14ac:dyDescent="0.3">
      <c r="A347" s="28"/>
      <c r="B347" s="29" t="s">
        <v>889</v>
      </c>
      <c r="C347" s="30" t="s">
        <v>890</v>
      </c>
      <c r="D347" s="30" t="s">
        <v>125</v>
      </c>
      <c r="E347" s="30" t="s">
        <v>224</v>
      </c>
      <c r="F347" s="30"/>
      <c r="G347" s="30" t="s">
        <v>227</v>
      </c>
      <c r="H347" s="33" t="s">
        <v>215</v>
      </c>
      <c r="I347" s="30"/>
      <c r="J347" s="30"/>
      <c r="K347" s="32"/>
    </row>
    <row r="348" spans="1:11" x14ac:dyDescent="0.3">
      <c r="A348" s="28"/>
      <c r="B348" s="29" t="s">
        <v>891</v>
      </c>
      <c r="C348" s="30" t="s">
        <v>892</v>
      </c>
      <c r="D348" s="30" t="s">
        <v>218</v>
      </c>
      <c r="E348" s="30" t="s">
        <v>212</v>
      </c>
      <c r="F348" s="30" t="s">
        <v>337</v>
      </c>
      <c r="G348" s="30" t="s">
        <v>253</v>
      </c>
      <c r="H348" s="31" t="s">
        <v>208</v>
      </c>
      <c r="I348" s="30"/>
      <c r="J348" s="30"/>
      <c r="K348" s="32"/>
    </row>
    <row r="349" spans="1:11" x14ac:dyDescent="0.3">
      <c r="A349" s="28"/>
      <c r="B349" s="29" t="s">
        <v>893</v>
      </c>
      <c r="C349" s="30" t="s">
        <v>894</v>
      </c>
      <c r="D349" s="30" t="s">
        <v>125</v>
      </c>
      <c r="E349" s="30" t="s">
        <v>206</v>
      </c>
      <c r="F349" s="30"/>
      <c r="G349" s="30" t="s">
        <v>207</v>
      </c>
      <c r="H349" s="31" t="s">
        <v>208</v>
      </c>
      <c r="I349" s="30"/>
      <c r="J349" s="30"/>
      <c r="K349" s="32"/>
    </row>
    <row r="350" spans="1:11" x14ac:dyDescent="0.3">
      <c r="A350" s="28"/>
      <c r="B350" s="29" t="s">
        <v>895</v>
      </c>
      <c r="C350" s="30" t="s">
        <v>896</v>
      </c>
      <c r="D350" s="30" t="s">
        <v>125</v>
      </c>
      <c r="E350" s="30" t="s">
        <v>224</v>
      </c>
      <c r="F350" s="30"/>
      <c r="G350" s="30" t="s">
        <v>207</v>
      </c>
      <c r="H350" s="31" t="s">
        <v>208</v>
      </c>
      <c r="I350" s="30"/>
      <c r="J350" s="30"/>
      <c r="K350" s="32"/>
    </row>
    <row r="351" spans="1:11" x14ac:dyDescent="0.3">
      <c r="A351" s="28"/>
      <c r="B351" s="29" t="s">
        <v>897</v>
      </c>
      <c r="C351" s="30" t="s">
        <v>898</v>
      </c>
      <c r="D351" s="30" t="s">
        <v>125</v>
      </c>
      <c r="E351" s="30" t="s">
        <v>224</v>
      </c>
      <c r="F351" s="30"/>
      <c r="G351" s="30" t="s">
        <v>207</v>
      </c>
      <c r="H351" s="31" t="s">
        <v>208</v>
      </c>
      <c r="I351" s="30"/>
      <c r="J351" s="30"/>
      <c r="K351" s="32"/>
    </row>
    <row r="352" spans="1:11" x14ac:dyDescent="0.3">
      <c r="A352" s="28"/>
      <c r="B352" s="29" t="s">
        <v>899</v>
      </c>
      <c r="C352" s="30" t="s">
        <v>900</v>
      </c>
      <c r="D352" s="30" t="s">
        <v>125</v>
      </c>
      <c r="E352" s="30" t="s">
        <v>206</v>
      </c>
      <c r="F352" s="30"/>
      <c r="G352" s="30" t="s">
        <v>207</v>
      </c>
      <c r="H352" s="31" t="s">
        <v>208</v>
      </c>
      <c r="I352" s="30"/>
      <c r="J352" s="30"/>
      <c r="K352" s="32"/>
    </row>
    <row r="353" spans="1:11" x14ac:dyDescent="0.3">
      <c r="A353" s="28"/>
      <c r="B353" s="29" t="s">
        <v>166</v>
      </c>
      <c r="C353" s="30" t="s">
        <v>901</v>
      </c>
      <c r="D353" s="30" t="s">
        <v>29</v>
      </c>
      <c r="E353" s="30" t="s">
        <v>206</v>
      </c>
      <c r="F353" s="30" t="s">
        <v>902</v>
      </c>
      <c r="G353" s="30" t="s">
        <v>483</v>
      </c>
      <c r="H353" s="33" t="s">
        <v>215</v>
      </c>
      <c r="I353" s="30"/>
      <c r="J353" s="30"/>
      <c r="K353" s="32"/>
    </row>
    <row r="354" spans="1:11" x14ac:dyDescent="0.3">
      <c r="A354" s="28"/>
      <c r="B354" s="29" t="s">
        <v>903</v>
      </c>
      <c r="C354" s="30" t="s">
        <v>904</v>
      </c>
      <c r="D354" s="30" t="s">
        <v>125</v>
      </c>
      <c r="E354" s="30" t="s">
        <v>224</v>
      </c>
      <c r="F354" s="30"/>
      <c r="G354" s="30" t="s">
        <v>207</v>
      </c>
      <c r="H354" s="31" t="s">
        <v>208</v>
      </c>
      <c r="I354" s="30"/>
      <c r="J354" s="30"/>
      <c r="K354" s="32"/>
    </row>
    <row r="355" spans="1:11" x14ac:dyDescent="0.3">
      <c r="A355" s="28"/>
      <c r="B355" s="29" t="s">
        <v>905</v>
      </c>
      <c r="C355" s="30" t="s">
        <v>906</v>
      </c>
      <c r="D355" s="30" t="s">
        <v>125</v>
      </c>
      <c r="E355" s="30" t="s">
        <v>206</v>
      </c>
      <c r="F355" s="30" t="s">
        <v>907</v>
      </c>
      <c r="G355" s="30" t="s">
        <v>285</v>
      </c>
      <c r="H355" s="31" t="s">
        <v>208</v>
      </c>
      <c r="I355" s="30"/>
      <c r="J355" s="30"/>
      <c r="K355" s="32"/>
    </row>
    <row r="356" spans="1:11" x14ac:dyDescent="0.3">
      <c r="A356" s="28"/>
      <c r="B356" s="29" t="s">
        <v>908</v>
      </c>
      <c r="C356" s="30" t="s">
        <v>909</v>
      </c>
      <c r="D356" s="30" t="s">
        <v>218</v>
      </c>
      <c r="E356" s="30" t="s">
        <v>212</v>
      </c>
      <c r="F356" s="30"/>
      <c r="G356" s="30" t="s">
        <v>207</v>
      </c>
      <c r="H356" s="31" t="s">
        <v>208</v>
      </c>
      <c r="I356" s="30"/>
      <c r="J356" s="30"/>
      <c r="K356" s="32"/>
    </row>
    <row r="357" spans="1:11" x14ac:dyDescent="0.3">
      <c r="A357" s="28"/>
      <c r="B357" s="29" t="s">
        <v>910</v>
      </c>
      <c r="C357" s="30" t="s">
        <v>911</v>
      </c>
      <c r="D357" s="30" t="s">
        <v>125</v>
      </c>
      <c r="E357" s="30" t="s">
        <v>224</v>
      </c>
      <c r="F357" s="30"/>
      <c r="G357" s="30" t="s">
        <v>159</v>
      </c>
      <c r="H357" s="33" t="s">
        <v>215</v>
      </c>
      <c r="I357" s="30"/>
      <c r="J357" s="30"/>
      <c r="K357" s="32"/>
    </row>
    <row r="358" spans="1:11" x14ac:dyDescent="0.3">
      <c r="A358" s="28"/>
      <c r="B358" s="29" t="s">
        <v>912</v>
      </c>
      <c r="C358" s="30" t="s">
        <v>913</v>
      </c>
      <c r="D358" s="30" t="s">
        <v>125</v>
      </c>
      <c r="E358" s="30" t="s">
        <v>224</v>
      </c>
      <c r="F358" s="30"/>
      <c r="G358" s="30" t="s">
        <v>227</v>
      </c>
      <c r="H358" s="33" t="s">
        <v>215</v>
      </c>
      <c r="I358" s="30"/>
      <c r="J358" s="30"/>
      <c r="K358" s="32"/>
    </row>
    <row r="359" spans="1:11" x14ac:dyDescent="0.3">
      <c r="A359" s="28"/>
      <c r="B359" s="29" t="s">
        <v>914</v>
      </c>
      <c r="C359" s="30" t="s">
        <v>915</v>
      </c>
      <c r="D359" s="30" t="s">
        <v>125</v>
      </c>
      <c r="E359" s="30" t="s">
        <v>206</v>
      </c>
      <c r="F359" s="30"/>
      <c r="G359" s="30" t="s">
        <v>207</v>
      </c>
      <c r="H359" s="31" t="s">
        <v>208</v>
      </c>
      <c r="I359" s="30"/>
      <c r="J359" s="30"/>
      <c r="K359" s="32"/>
    </row>
    <row r="360" spans="1:11" x14ac:dyDescent="0.3">
      <c r="A360" s="28"/>
      <c r="B360" s="29" t="s">
        <v>916</v>
      </c>
      <c r="C360" s="30" t="s">
        <v>917</v>
      </c>
      <c r="D360" s="30" t="s">
        <v>125</v>
      </c>
      <c r="E360" s="30" t="s">
        <v>224</v>
      </c>
      <c r="F360" s="30"/>
      <c r="G360" s="30" t="s">
        <v>207</v>
      </c>
      <c r="H360" s="31" t="s">
        <v>208</v>
      </c>
      <c r="I360" s="30"/>
      <c r="J360" s="30"/>
      <c r="K360" s="32"/>
    </row>
    <row r="361" spans="1:11" x14ac:dyDescent="0.3">
      <c r="A361" s="28"/>
      <c r="B361" s="29" t="s">
        <v>106</v>
      </c>
      <c r="C361" s="30" t="s">
        <v>918</v>
      </c>
      <c r="D361" s="30" t="s">
        <v>102</v>
      </c>
      <c r="E361" s="30" t="s">
        <v>206</v>
      </c>
      <c r="F361" s="30"/>
      <c r="G361" s="30" t="s">
        <v>207</v>
      </c>
      <c r="H361" s="31" t="s">
        <v>208</v>
      </c>
      <c r="I361" s="30"/>
      <c r="J361" s="30"/>
      <c r="K361" s="32"/>
    </row>
    <row r="362" spans="1:11" x14ac:dyDescent="0.3">
      <c r="A362" s="28"/>
      <c r="B362" s="29" t="s">
        <v>919</v>
      </c>
      <c r="C362" s="30" t="s">
        <v>920</v>
      </c>
      <c r="D362" s="30" t="s">
        <v>218</v>
      </c>
      <c r="E362" s="30" t="s">
        <v>212</v>
      </c>
      <c r="F362" s="30" t="s">
        <v>921</v>
      </c>
      <c r="G362" s="30" t="s">
        <v>285</v>
      </c>
      <c r="H362" s="31" t="s">
        <v>208</v>
      </c>
      <c r="I362" s="30"/>
      <c r="J362" s="30"/>
      <c r="K362" s="32"/>
    </row>
    <row r="363" spans="1:11" x14ac:dyDescent="0.3">
      <c r="A363" s="28"/>
      <c r="B363" s="29" t="s">
        <v>58</v>
      </c>
      <c r="C363" s="30" t="s">
        <v>922</v>
      </c>
      <c r="D363" s="30" t="s">
        <v>29</v>
      </c>
      <c r="E363" s="30" t="s">
        <v>206</v>
      </c>
      <c r="F363" s="30"/>
      <c r="G363" s="30" t="s">
        <v>207</v>
      </c>
      <c r="H363" s="31" t="s">
        <v>208</v>
      </c>
      <c r="I363" s="30"/>
      <c r="J363" s="30"/>
      <c r="K363" s="32"/>
    </row>
    <row r="364" spans="1:11" x14ac:dyDescent="0.3">
      <c r="A364" s="28"/>
      <c r="B364" s="29" t="s">
        <v>923</v>
      </c>
      <c r="C364" s="30" t="s">
        <v>924</v>
      </c>
      <c r="D364" s="30" t="s">
        <v>274</v>
      </c>
      <c r="E364" s="30" t="s">
        <v>212</v>
      </c>
      <c r="F364" s="30"/>
      <c r="G364" s="30" t="s">
        <v>207</v>
      </c>
      <c r="H364" s="31" t="s">
        <v>208</v>
      </c>
      <c r="I364" s="30"/>
      <c r="J364" s="30"/>
      <c r="K364" s="32"/>
    </row>
    <row r="365" spans="1:11" x14ac:dyDescent="0.3">
      <c r="A365" s="28"/>
      <c r="B365" s="29" t="s">
        <v>925</v>
      </c>
      <c r="C365" s="30" t="s">
        <v>926</v>
      </c>
      <c r="D365" s="30" t="s">
        <v>125</v>
      </c>
      <c r="E365" s="30" t="s">
        <v>224</v>
      </c>
      <c r="F365" s="30"/>
      <c r="G365" s="30" t="s">
        <v>207</v>
      </c>
      <c r="H365" s="31" t="s">
        <v>208</v>
      </c>
      <c r="I365" s="30"/>
      <c r="J365" s="30"/>
      <c r="K365" s="32"/>
    </row>
    <row r="366" spans="1:11" x14ac:dyDescent="0.3">
      <c r="A366" s="28"/>
      <c r="B366" s="29" t="s">
        <v>927</v>
      </c>
      <c r="C366" s="30" t="s">
        <v>928</v>
      </c>
      <c r="D366" s="30" t="s">
        <v>125</v>
      </c>
      <c r="E366" s="30" t="s">
        <v>224</v>
      </c>
      <c r="F366" s="30" t="s">
        <v>487</v>
      </c>
      <c r="G366" s="30" t="s">
        <v>159</v>
      </c>
      <c r="H366" s="33" t="s">
        <v>215</v>
      </c>
      <c r="I366" s="30"/>
      <c r="J366" s="30"/>
      <c r="K366" s="32"/>
    </row>
    <row r="367" spans="1:11" x14ac:dyDescent="0.3">
      <c r="A367" s="28"/>
      <c r="B367" s="29" t="s">
        <v>929</v>
      </c>
      <c r="C367" s="30" t="s">
        <v>930</v>
      </c>
      <c r="D367" s="30" t="s">
        <v>125</v>
      </c>
      <c r="E367" s="30" t="s">
        <v>206</v>
      </c>
      <c r="F367" s="30"/>
      <c r="G367" s="30" t="s">
        <v>207</v>
      </c>
      <c r="H367" s="31" t="s">
        <v>208</v>
      </c>
      <c r="I367" s="30"/>
      <c r="J367" s="30"/>
      <c r="K367" s="32"/>
    </row>
    <row r="368" spans="1:11" x14ac:dyDescent="0.3">
      <c r="A368" s="28"/>
      <c r="B368" s="29" t="s">
        <v>931</v>
      </c>
      <c r="C368" s="30" t="s">
        <v>932</v>
      </c>
      <c r="D368" s="30" t="s">
        <v>125</v>
      </c>
      <c r="E368" s="30" t="s">
        <v>224</v>
      </c>
      <c r="F368" s="30"/>
      <c r="G368" s="30" t="s">
        <v>207</v>
      </c>
      <c r="H368" s="31" t="s">
        <v>208</v>
      </c>
      <c r="I368" s="30"/>
      <c r="J368" s="30"/>
      <c r="K368" s="32"/>
    </row>
    <row r="369" spans="1:11" x14ac:dyDescent="0.3">
      <c r="A369" s="28"/>
      <c r="B369" s="29" t="s">
        <v>933</v>
      </c>
      <c r="C369" s="30" t="s">
        <v>934</v>
      </c>
      <c r="D369" s="30" t="s">
        <v>125</v>
      </c>
      <c r="E369" s="30" t="s">
        <v>206</v>
      </c>
      <c r="F369" s="30"/>
      <c r="G369" s="30" t="s">
        <v>207</v>
      </c>
      <c r="H369" s="31" t="s">
        <v>208</v>
      </c>
      <c r="I369" s="30"/>
      <c r="J369" s="30"/>
      <c r="K369" s="32"/>
    </row>
    <row r="370" spans="1:11" x14ac:dyDescent="0.3">
      <c r="A370" s="28"/>
      <c r="B370" s="29" t="s">
        <v>935</v>
      </c>
      <c r="C370" s="30" t="s">
        <v>936</v>
      </c>
      <c r="D370" s="30" t="s">
        <v>29</v>
      </c>
      <c r="E370" s="30" t="s">
        <v>206</v>
      </c>
      <c r="F370" s="30" t="s">
        <v>937</v>
      </c>
      <c r="G370" s="30" t="s">
        <v>253</v>
      </c>
      <c r="H370" s="31" t="s">
        <v>208</v>
      </c>
      <c r="I370" s="30"/>
      <c r="J370" s="30"/>
      <c r="K370" s="32"/>
    </row>
    <row r="371" spans="1:11" x14ac:dyDescent="0.3">
      <c r="A371" s="28"/>
      <c r="B371" s="29" t="s">
        <v>117</v>
      </c>
      <c r="C371" s="30" t="s">
        <v>938</v>
      </c>
      <c r="D371" s="30" t="s">
        <v>29</v>
      </c>
      <c r="E371" s="30" t="s">
        <v>206</v>
      </c>
      <c r="F371" s="30" t="s">
        <v>232</v>
      </c>
      <c r="G371" s="30" t="s">
        <v>233</v>
      </c>
      <c r="H371" s="31" t="s">
        <v>208</v>
      </c>
      <c r="I371" s="30"/>
      <c r="J371" s="30"/>
      <c r="K371" s="32"/>
    </row>
    <row r="372" spans="1:11" x14ac:dyDescent="0.3">
      <c r="A372" s="28"/>
      <c r="B372" s="29" t="s">
        <v>939</v>
      </c>
      <c r="C372" s="30" t="s">
        <v>940</v>
      </c>
      <c r="D372" s="30" t="s">
        <v>29</v>
      </c>
      <c r="E372" s="30" t="s">
        <v>212</v>
      </c>
      <c r="F372" s="30"/>
      <c r="G372" s="30" t="s">
        <v>207</v>
      </c>
      <c r="H372" s="31" t="s">
        <v>208</v>
      </c>
      <c r="I372" s="30"/>
      <c r="J372" s="30"/>
      <c r="K372" s="32"/>
    </row>
    <row r="373" spans="1:11" x14ac:dyDescent="0.3">
      <c r="A373" s="28"/>
      <c r="B373" s="29" t="s">
        <v>63</v>
      </c>
      <c r="C373" s="30" t="s">
        <v>941</v>
      </c>
      <c r="D373" s="30" t="s">
        <v>29</v>
      </c>
      <c r="E373" s="30" t="s">
        <v>206</v>
      </c>
      <c r="F373" s="30" t="s">
        <v>942</v>
      </c>
      <c r="G373" s="30" t="s">
        <v>207</v>
      </c>
      <c r="H373" s="31" t="s">
        <v>208</v>
      </c>
      <c r="I373" s="30"/>
      <c r="J373" s="30"/>
      <c r="K373" s="32"/>
    </row>
    <row r="374" spans="1:11" x14ac:dyDescent="0.3">
      <c r="A374" s="28"/>
      <c r="B374" s="29" t="s">
        <v>943</v>
      </c>
      <c r="C374" s="30" t="s">
        <v>944</v>
      </c>
      <c r="D374" s="30" t="s">
        <v>125</v>
      </c>
      <c r="E374" s="30" t="s">
        <v>224</v>
      </c>
      <c r="F374" s="30"/>
      <c r="G374" s="30" t="s">
        <v>207</v>
      </c>
      <c r="H374" s="31" t="s">
        <v>208</v>
      </c>
      <c r="I374" s="30"/>
      <c r="J374" s="30"/>
      <c r="K374" s="32"/>
    </row>
    <row r="375" spans="1:11" x14ac:dyDescent="0.3">
      <c r="A375" s="28"/>
      <c r="B375" s="29" t="s">
        <v>945</v>
      </c>
      <c r="C375" s="30" t="s">
        <v>946</v>
      </c>
      <c r="D375" s="30" t="s">
        <v>29</v>
      </c>
      <c r="E375" s="30" t="s">
        <v>212</v>
      </c>
      <c r="F375" s="30"/>
      <c r="G375" s="30" t="s">
        <v>207</v>
      </c>
      <c r="H375" s="31" t="s">
        <v>208</v>
      </c>
      <c r="I375" s="30"/>
      <c r="J375" s="30"/>
      <c r="K375" s="32"/>
    </row>
    <row r="376" spans="1:11" x14ac:dyDescent="0.3">
      <c r="A376" s="28"/>
      <c r="B376" s="29" t="s">
        <v>947</v>
      </c>
      <c r="C376" s="30" t="s">
        <v>948</v>
      </c>
      <c r="D376" s="30" t="s">
        <v>125</v>
      </c>
      <c r="E376" s="30" t="s">
        <v>206</v>
      </c>
      <c r="F376" s="30"/>
      <c r="G376" s="30" t="s">
        <v>207</v>
      </c>
      <c r="H376" s="31" t="s">
        <v>208</v>
      </c>
      <c r="I376" s="30"/>
      <c r="J376" s="30"/>
      <c r="K376" s="32"/>
    </row>
    <row r="377" spans="1:11" x14ac:dyDescent="0.3">
      <c r="A377" s="28"/>
      <c r="B377" s="29" t="s">
        <v>95</v>
      </c>
      <c r="C377" s="30" t="s">
        <v>1201</v>
      </c>
      <c r="D377" s="30" t="s">
        <v>29</v>
      </c>
      <c r="E377" s="30" t="s">
        <v>206</v>
      </c>
      <c r="F377" s="30"/>
      <c r="G377" s="30" t="s">
        <v>207</v>
      </c>
      <c r="H377" s="31" t="s">
        <v>208</v>
      </c>
      <c r="I377" s="30"/>
      <c r="J377" s="30"/>
      <c r="K377" s="32"/>
    </row>
    <row r="378" spans="1:11" x14ac:dyDescent="0.3">
      <c r="A378" s="28"/>
      <c r="B378" s="29" t="s">
        <v>64</v>
      </c>
      <c r="C378" s="30" t="s">
        <v>949</v>
      </c>
      <c r="D378" s="30" t="s">
        <v>29</v>
      </c>
      <c r="E378" s="30" t="s">
        <v>206</v>
      </c>
      <c r="F378" s="30" t="s">
        <v>675</v>
      </c>
      <c r="G378" s="30" t="s">
        <v>207</v>
      </c>
      <c r="H378" s="31" t="s">
        <v>208</v>
      </c>
      <c r="I378" s="30"/>
      <c r="J378" s="30"/>
      <c r="K378" s="32"/>
    </row>
    <row r="379" spans="1:11" x14ac:dyDescent="0.3">
      <c r="A379" s="28"/>
      <c r="B379" s="29" t="s">
        <v>950</v>
      </c>
      <c r="C379" s="30" t="s">
        <v>951</v>
      </c>
      <c r="D379" s="30" t="s">
        <v>102</v>
      </c>
      <c r="E379" s="30" t="s">
        <v>212</v>
      </c>
      <c r="F379" s="30"/>
      <c r="G379" s="30" t="s">
        <v>207</v>
      </c>
      <c r="H379" s="31" t="s">
        <v>208</v>
      </c>
      <c r="I379" s="30"/>
      <c r="J379" s="30"/>
      <c r="K379" s="32"/>
    </row>
    <row r="380" spans="1:11" x14ac:dyDescent="0.3">
      <c r="A380" s="28"/>
      <c r="B380" s="29" t="s">
        <v>952</v>
      </c>
      <c r="C380" s="30" t="s">
        <v>953</v>
      </c>
      <c r="D380" s="30" t="s">
        <v>954</v>
      </c>
      <c r="E380" s="30" t="s">
        <v>212</v>
      </c>
      <c r="F380" s="30" t="s">
        <v>955</v>
      </c>
      <c r="G380" s="30" t="s">
        <v>159</v>
      </c>
      <c r="H380" s="33" t="s">
        <v>215</v>
      </c>
      <c r="I380" s="30"/>
      <c r="J380" s="30"/>
      <c r="K380" s="32"/>
    </row>
    <row r="381" spans="1:11" x14ac:dyDescent="0.3">
      <c r="A381" s="28"/>
      <c r="B381" s="29" t="s">
        <v>956</v>
      </c>
      <c r="C381" s="30" t="s">
        <v>957</v>
      </c>
      <c r="D381" s="30" t="s">
        <v>29</v>
      </c>
      <c r="E381" s="30" t="s">
        <v>212</v>
      </c>
      <c r="F381" s="30"/>
      <c r="G381" s="30" t="s">
        <v>207</v>
      </c>
      <c r="H381" s="31" t="s">
        <v>208</v>
      </c>
      <c r="I381" s="30"/>
      <c r="J381" s="30"/>
      <c r="K381" s="32"/>
    </row>
    <row r="382" spans="1:11" x14ac:dyDescent="0.3">
      <c r="A382" s="28"/>
      <c r="B382" s="29" t="s">
        <v>958</v>
      </c>
      <c r="C382" s="30" t="s">
        <v>959</v>
      </c>
      <c r="D382" s="30" t="s">
        <v>218</v>
      </c>
      <c r="E382" s="30" t="s">
        <v>212</v>
      </c>
      <c r="F382" s="30" t="s">
        <v>337</v>
      </c>
      <c r="G382" s="30" t="s">
        <v>207</v>
      </c>
      <c r="H382" s="31" t="s">
        <v>208</v>
      </c>
      <c r="I382" s="30"/>
      <c r="J382" s="30"/>
      <c r="K382" s="32"/>
    </row>
    <row r="383" spans="1:11" x14ac:dyDescent="0.3">
      <c r="A383" s="28"/>
      <c r="B383" s="29" t="s">
        <v>960</v>
      </c>
      <c r="C383" s="30" t="s">
        <v>961</v>
      </c>
      <c r="D383" s="30" t="s">
        <v>29</v>
      </c>
      <c r="E383" s="30" t="s">
        <v>206</v>
      </c>
      <c r="F383" s="30"/>
      <c r="G383" s="30" t="s">
        <v>207</v>
      </c>
      <c r="H383" s="31" t="s">
        <v>208</v>
      </c>
      <c r="I383" s="30"/>
      <c r="J383" s="30"/>
      <c r="K383" s="32"/>
    </row>
    <row r="384" spans="1:11" x14ac:dyDescent="0.3">
      <c r="A384" s="28"/>
      <c r="B384" s="29" t="s">
        <v>43</v>
      </c>
      <c r="C384" s="30" t="s">
        <v>962</v>
      </c>
      <c r="D384" s="30" t="s">
        <v>29</v>
      </c>
      <c r="E384" s="30" t="s">
        <v>206</v>
      </c>
      <c r="F384" s="30"/>
      <c r="G384" s="30" t="s">
        <v>207</v>
      </c>
      <c r="H384" s="31" t="s">
        <v>208</v>
      </c>
      <c r="I384" s="30"/>
      <c r="J384" s="30"/>
      <c r="K384" s="32"/>
    </row>
    <row r="385" spans="1:11" x14ac:dyDescent="0.3">
      <c r="A385" s="28"/>
      <c r="B385" s="29" t="s">
        <v>963</v>
      </c>
      <c r="C385" s="30" t="s">
        <v>964</v>
      </c>
      <c r="D385" s="30" t="s">
        <v>125</v>
      </c>
      <c r="E385" s="30" t="s">
        <v>224</v>
      </c>
      <c r="F385" s="30"/>
      <c r="G385" s="30" t="s">
        <v>207</v>
      </c>
      <c r="H385" s="31" t="s">
        <v>208</v>
      </c>
      <c r="I385" s="30"/>
      <c r="J385" s="30"/>
      <c r="K385" s="32"/>
    </row>
    <row r="386" spans="1:11" x14ac:dyDescent="0.3">
      <c r="A386" s="28"/>
      <c r="B386" s="29" t="s">
        <v>965</v>
      </c>
      <c r="C386" s="30" t="s">
        <v>966</v>
      </c>
      <c r="D386" s="30" t="s">
        <v>125</v>
      </c>
      <c r="E386" s="30" t="s">
        <v>224</v>
      </c>
      <c r="F386" s="30"/>
      <c r="G386" s="30" t="s">
        <v>159</v>
      </c>
      <c r="H386" s="33" t="s">
        <v>215</v>
      </c>
      <c r="I386" s="30"/>
      <c r="J386" s="30"/>
      <c r="K386" s="32"/>
    </row>
    <row r="387" spans="1:11" x14ac:dyDescent="0.3">
      <c r="A387" s="28"/>
      <c r="B387" s="29" t="s">
        <v>100</v>
      </c>
      <c r="C387" s="30" t="s">
        <v>967</v>
      </c>
      <c r="D387" s="30" t="s">
        <v>29</v>
      </c>
      <c r="E387" s="30" t="s">
        <v>206</v>
      </c>
      <c r="F387" s="30" t="s">
        <v>512</v>
      </c>
      <c r="G387" s="30" t="s">
        <v>207</v>
      </c>
      <c r="H387" s="31" t="s">
        <v>208</v>
      </c>
      <c r="I387" s="30"/>
      <c r="J387" s="30"/>
      <c r="K387" s="32"/>
    </row>
    <row r="388" spans="1:11" x14ac:dyDescent="0.3">
      <c r="A388" s="28"/>
      <c r="B388" s="29" t="s">
        <v>149</v>
      </c>
      <c r="C388" s="30" t="s">
        <v>968</v>
      </c>
      <c r="D388" s="30" t="s">
        <v>250</v>
      </c>
      <c r="E388" s="30" t="s">
        <v>206</v>
      </c>
      <c r="F388" s="30" t="s">
        <v>969</v>
      </c>
      <c r="G388" s="30" t="s">
        <v>159</v>
      </c>
      <c r="H388" s="33" t="s">
        <v>215</v>
      </c>
      <c r="I388" s="30"/>
      <c r="J388" s="30"/>
      <c r="K388" s="32"/>
    </row>
    <row r="389" spans="1:11" x14ac:dyDescent="0.3">
      <c r="A389" s="28"/>
      <c r="B389" s="29" t="s">
        <v>970</v>
      </c>
      <c r="C389" s="30" t="s">
        <v>971</v>
      </c>
      <c r="D389" s="30" t="s">
        <v>29</v>
      </c>
      <c r="E389" s="30" t="s">
        <v>212</v>
      </c>
      <c r="F389" s="30"/>
      <c r="G389" s="30" t="s">
        <v>207</v>
      </c>
      <c r="H389" s="31" t="s">
        <v>208</v>
      </c>
      <c r="I389" s="30"/>
      <c r="J389" s="30"/>
      <c r="K389" s="32"/>
    </row>
    <row r="390" spans="1:11" x14ac:dyDescent="0.3">
      <c r="A390" s="28"/>
      <c r="B390" s="29" t="s">
        <v>972</v>
      </c>
      <c r="C390" s="30" t="s">
        <v>973</v>
      </c>
      <c r="D390" s="30" t="s">
        <v>125</v>
      </c>
      <c r="E390" s="30" t="s">
        <v>224</v>
      </c>
      <c r="F390" s="30"/>
      <c r="G390" s="30" t="s">
        <v>159</v>
      </c>
      <c r="H390" s="33" t="s">
        <v>215</v>
      </c>
      <c r="I390" s="30"/>
      <c r="J390" s="30"/>
      <c r="K390" s="32"/>
    </row>
    <row r="391" spans="1:11" x14ac:dyDescent="0.3">
      <c r="A391" s="28"/>
      <c r="B391" s="29" t="s">
        <v>974</v>
      </c>
      <c r="C391" s="30" t="s">
        <v>975</v>
      </c>
      <c r="D391" s="30" t="s">
        <v>125</v>
      </c>
      <c r="E391" s="30" t="s">
        <v>224</v>
      </c>
      <c r="F391" s="30"/>
      <c r="G391" s="30" t="s">
        <v>207</v>
      </c>
      <c r="H391" s="31" t="s">
        <v>208</v>
      </c>
      <c r="I391" s="30"/>
      <c r="J391" s="30"/>
      <c r="K391" s="32"/>
    </row>
    <row r="392" spans="1:11" x14ac:dyDescent="0.3">
      <c r="A392" s="28"/>
      <c r="B392" s="29" t="s">
        <v>976</v>
      </c>
      <c r="C392" s="30" t="s">
        <v>977</v>
      </c>
      <c r="D392" s="30" t="s">
        <v>125</v>
      </c>
      <c r="E392" s="30" t="s">
        <v>224</v>
      </c>
      <c r="F392" s="30" t="s">
        <v>978</v>
      </c>
      <c r="G392" s="30" t="s">
        <v>379</v>
      </c>
      <c r="H392" s="33" t="s">
        <v>215</v>
      </c>
      <c r="I392" s="30"/>
      <c r="J392" s="30"/>
      <c r="K392" s="32"/>
    </row>
    <row r="393" spans="1:11" x14ac:dyDescent="0.3">
      <c r="A393" s="28"/>
      <c r="B393" s="29" t="s">
        <v>979</v>
      </c>
      <c r="C393" s="30" t="s">
        <v>980</v>
      </c>
      <c r="D393" s="30" t="s">
        <v>29</v>
      </c>
      <c r="E393" s="30" t="s">
        <v>206</v>
      </c>
      <c r="F393" s="30" t="s">
        <v>981</v>
      </c>
      <c r="G393" s="30" t="s">
        <v>342</v>
      </c>
      <c r="H393" s="33" t="s">
        <v>215</v>
      </c>
      <c r="I393" s="30"/>
      <c r="J393" s="30"/>
      <c r="K393" s="32"/>
    </row>
    <row r="394" spans="1:11" x14ac:dyDescent="0.3">
      <c r="A394" s="28"/>
      <c r="B394" s="29" t="s">
        <v>982</v>
      </c>
      <c r="C394" s="30" t="s">
        <v>983</v>
      </c>
      <c r="D394" s="30" t="s">
        <v>125</v>
      </c>
      <c r="E394" s="30" t="s">
        <v>224</v>
      </c>
      <c r="F394" s="30"/>
      <c r="G394" s="30" t="s">
        <v>207</v>
      </c>
      <c r="H394" s="31" t="s">
        <v>208</v>
      </c>
      <c r="I394" s="30"/>
      <c r="J394" s="30"/>
      <c r="K394" s="32"/>
    </row>
    <row r="395" spans="1:11" x14ac:dyDescent="0.3">
      <c r="A395" s="28"/>
      <c r="B395" s="29" t="s">
        <v>984</v>
      </c>
      <c r="C395" s="30" t="s">
        <v>985</v>
      </c>
      <c r="D395" s="30" t="s">
        <v>125</v>
      </c>
      <c r="E395" s="30" t="s">
        <v>224</v>
      </c>
      <c r="F395" s="30"/>
      <c r="G395" s="30" t="s">
        <v>207</v>
      </c>
      <c r="H395" s="31" t="s">
        <v>208</v>
      </c>
      <c r="I395" s="30"/>
      <c r="J395" s="30"/>
      <c r="K395" s="32"/>
    </row>
    <row r="396" spans="1:11" x14ac:dyDescent="0.3">
      <c r="A396" s="28"/>
      <c r="B396" s="29" t="s">
        <v>986</v>
      </c>
      <c r="C396" s="30" t="s">
        <v>987</v>
      </c>
      <c r="D396" s="30" t="s">
        <v>125</v>
      </c>
      <c r="E396" s="30" t="s">
        <v>224</v>
      </c>
      <c r="F396" s="30"/>
      <c r="G396" s="30" t="s">
        <v>207</v>
      </c>
      <c r="H396" s="31" t="s">
        <v>208</v>
      </c>
      <c r="I396" s="30"/>
      <c r="J396" s="30"/>
      <c r="K396" s="32"/>
    </row>
    <row r="397" spans="1:11" x14ac:dyDescent="0.3">
      <c r="A397" s="28"/>
      <c r="B397" s="29" t="s">
        <v>988</v>
      </c>
      <c r="C397" s="30" t="s">
        <v>989</v>
      </c>
      <c r="D397" s="30" t="s">
        <v>125</v>
      </c>
      <c r="E397" s="30" t="s">
        <v>206</v>
      </c>
      <c r="F397" s="30"/>
      <c r="G397" s="30" t="s">
        <v>207</v>
      </c>
      <c r="H397" s="31" t="s">
        <v>208</v>
      </c>
      <c r="I397" s="30"/>
      <c r="J397" s="30"/>
      <c r="K397" s="32"/>
    </row>
    <row r="398" spans="1:11" x14ac:dyDescent="0.3">
      <c r="A398" s="28"/>
      <c r="B398" s="29" t="s">
        <v>990</v>
      </c>
      <c r="C398" s="30" t="s">
        <v>991</v>
      </c>
      <c r="D398" s="30" t="s">
        <v>274</v>
      </c>
      <c r="E398" s="30" t="s">
        <v>212</v>
      </c>
      <c r="F398" s="30" t="s">
        <v>992</v>
      </c>
      <c r="G398" s="30" t="s">
        <v>214</v>
      </c>
      <c r="H398" s="33" t="s">
        <v>215</v>
      </c>
      <c r="I398" s="30"/>
      <c r="J398" s="30"/>
      <c r="K398" s="32"/>
    </row>
    <row r="399" spans="1:11" x14ac:dyDescent="0.3">
      <c r="A399" s="28"/>
      <c r="B399" s="29" t="s">
        <v>993</v>
      </c>
      <c r="C399" s="30" t="s">
        <v>994</v>
      </c>
      <c r="D399" s="30" t="s">
        <v>125</v>
      </c>
      <c r="E399" s="30" t="s">
        <v>224</v>
      </c>
      <c r="F399" s="30" t="s">
        <v>995</v>
      </c>
      <c r="G399" s="30" t="s">
        <v>159</v>
      </c>
      <c r="H399" s="33" t="s">
        <v>215</v>
      </c>
      <c r="I399" s="30"/>
      <c r="J399" s="30"/>
      <c r="K399" s="32"/>
    </row>
    <row r="400" spans="1:11" x14ac:dyDescent="0.3">
      <c r="A400" s="28"/>
      <c r="B400" s="29" t="s">
        <v>996</v>
      </c>
      <c r="C400" s="30" t="s">
        <v>997</v>
      </c>
      <c r="D400" s="30" t="s">
        <v>218</v>
      </c>
      <c r="E400" s="30" t="s">
        <v>212</v>
      </c>
      <c r="F400" s="30" t="s">
        <v>998</v>
      </c>
      <c r="G400" s="30" t="s">
        <v>159</v>
      </c>
      <c r="H400" s="33" t="s">
        <v>215</v>
      </c>
      <c r="I400" s="30"/>
      <c r="J400" s="30"/>
      <c r="K400" s="32"/>
    </row>
    <row r="401" spans="1:11" x14ac:dyDescent="0.3">
      <c r="A401" s="28"/>
      <c r="B401" s="29" t="s">
        <v>96</v>
      </c>
      <c r="C401" s="30" t="s">
        <v>999</v>
      </c>
      <c r="D401" s="30" t="s">
        <v>29</v>
      </c>
      <c r="E401" s="30" t="s">
        <v>206</v>
      </c>
      <c r="F401" s="30"/>
      <c r="G401" s="30" t="s">
        <v>207</v>
      </c>
      <c r="H401" s="31" t="s">
        <v>208</v>
      </c>
      <c r="I401" s="30"/>
      <c r="J401" s="30"/>
      <c r="K401" s="32"/>
    </row>
    <row r="402" spans="1:11" x14ac:dyDescent="0.3">
      <c r="A402" s="28"/>
      <c r="B402" s="29" t="s">
        <v>1000</v>
      </c>
      <c r="C402" s="30" t="s">
        <v>1001</v>
      </c>
      <c r="D402" s="30" t="s">
        <v>29</v>
      </c>
      <c r="E402" s="30" t="s">
        <v>206</v>
      </c>
      <c r="F402" s="30"/>
      <c r="G402" s="30" t="s">
        <v>207</v>
      </c>
      <c r="H402" s="31" t="s">
        <v>208</v>
      </c>
      <c r="I402" s="30"/>
      <c r="J402" s="30"/>
      <c r="K402" s="32"/>
    </row>
    <row r="403" spans="1:11" x14ac:dyDescent="0.3">
      <c r="A403" s="28"/>
      <c r="B403" s="29" t="s">
        <v>1002</v>
      </c>
      <c r="C403" s="30" t="s">
        <v>1003</v>
      </c>
      <c r="D403" s="30" t="s">
        <v>125</v>
      </c>
      <c r="E403" s="30" t="s">
        <v>206</v>
      </c>
      <c r="F403" s="30" t="s">
        <v>232</v>
      </c>
      <c r="G403" s="30" t="s">
        <v>233</v>
      </c>
      <c r="H403" s="31" t="s">
        <v>208</v>
      </c>
      <c r="I403" s="30"/>
      <c r="J403" s="30"/>
      <c r="K403" s="32"/>
    </row>
    <row r="404" spans="1:11" x14ac:dyDescent="0.3">
      <c r="A404" s="28"/>
      <c r="B404" s="29" t="s">
        <v>1004</v>
      </c>
      <c r="C404" s="30" t="s">
        <v>1005</v>
      </c>
      <c r="D404" s="30" t="s">
        <v>125</v>
      </c>
      <c r="E404" s="30" t="s">
        <v>224</v>
      </c>
      <c r="F404" s="30"/>
      <c r="G404" s="30" t="s">
        <v>207</v>
      </c>
      <c r="H404" s="31" t="s">
        <v>208</v>
      </c>
      <c r="I404" s="30"/>
      <c r="J404" s="30"/>
      <c r="K404" s="32"/>
    </row>
    <row r="405" spans="1:11" x14ac:dyDescent="0.3">
      <c r="A405" s="28"/>
      <c r="B405" s="29" t="s">
        <v>1006</v>
      </c>
      <c r="C405" s="30" t="s">
        <v>1007</v>
      </c>
      <c r="D405" s="30" t="s">
        <v>125</v>
      </c>
      <c r="E405" s="30" t="s">
        <v>224</v>
      </c>
      <c r="F405" s="30"/>
      <c r="G405" s="30" t="s">
        <v>207</v>
      </c>
      <c r="H405" s="31" t="s">
        <v>208</v>
      </c>
      <c r="I405" s="30"/>
      <c r="J405" s="30"/>
      <c r="K405" s="32"/>
    </row>
    <row r="406" spans="1:11" x14ac:dyDescent="0.3">
      <c r="A406" s="28"/>
      <c r="B406" s="29" t="s">
        <v>83</v>
      </c>
      <c r="C406" s="30" t="s">
        <v>1008</v>
      </c>
      <c r="D406" s="30" t="s">
        <v>29</v>
      </c>
      <c r="E406" s="30" t="s">
        <v>206</v>
      </c>
      <c r="F406" s="30"/>
      <c r="G406" s="30" t="s">
        <v>207</v>
      </c>
      <c r="H406" s="31" t="s">
        <v>208</v>
      </c>
      <c r="I406" s="30"/>
      <c r="J406" s="30"/>
      <c r="K406" s="32"/>
    </row>
    <row r="407" spans="1:11" x14ac:dyDescent="0.3">
      <c r="A407" s="28"/>
      <c r="B407" s="29" t="s">
        <v>1009</v>
      </c>
      <c r="C407" s="30" t="s">
        <v>1010</v>
      </c>
      <c r="D407" s="30" t="s">
        <v>125</v>
      </c>
      <c r="E407" s="30" t="s">
        <v>224</v>
      </c>
      <c r="F407" s="30"/>
      <c r="G407" s="30" t="s">
        <v>207</v>
      </c>
      <c r="H407" s="31" t="s">
        <v>208</v>
      </c>
      <c r="I407" s="30"/>
      <c r="J407" s="30"/>
      <c r="K407" s="32"/>
    </row>
    <row r="408" spans="1:11" x14ac:dyDescent="0.3">
      <c r="A408" s="28"/>
      <c r="B408" s="29" t="s">
        <v>55</v>
      </c>
      <c r="C408" s="30" t="s">
        <v>1011</v>
      </c>
      <c r="D408" s="30" t="s">
        <v>29</v>
      </c>
      <c r="E408" s="30" t="s">
        <v>206</v>
      </c>
      <c r="F408" s="30"/>
      <c r="G408" s="30" t="s">
        <v>207</v>
      </c>
      <c r="H408" s="31" t="s">
        <v>208</v>
      </c>
      <c r="I408" s="30"/>
      <c r="J408" s="30"/>
      <c r="K408" s="32"/>
    </row>
    <row r="409" spans="1:11" x14ac:dyDescent="0.3">
      <c r="A409" s="28"/>
      <c r="B409" s="29" t="s">
        <v>18</v>
      </c>
      <c r="C409" s="30" t="s">
        <v>1012</v>
      </c>
      <c r="D409" s="30" t="s">
        <v>250</v>
      </c>
      <c r="E409" s="30" t="s">
        <v>206</v>
      </c>
      <c r="F409" s="30"/>
      <c r="G409" s="30" t="s">
        <v>207</v>
      </c>
      <c r="H409" s="31" t="s">
        <v>208</v>
      </c>
      <c r="I409" s="30"/>
      <c r="J409" s="30"/>
      <c r="K409" s="32"/>
    </row>
    <row r="410" spans="1:11" x14ac:dyDescent="0.3">
      <c r="A410" s="28"/>
      <c r="B410" s="29" t="s">
        <v>161</v>
      </c>
      <c r="C410" s="30" t="s">
        <v>1013</v>
      </c>
      <c r="D410" s="30" t="s">
        <v>29</v>
      </c>
      <c r="E410" s="30" t="s">
        <v>206</v>
      </c>
      <c r="F410" s="30" t="s">
        <v>447</v>
      </c>
      <c r="G410" s="30" t="s">
        <v>159</v>
      </c>
      <c r="H410" s="33" t="s">
        <v>215</v>
      </c>
      <c r="I410" s="30"/>
      <c r="J410" s="30"/>
      <c r="K410" s="32"/>
    </row>
    <row r="411" spans="1:11" x14ac:dyDescent="0.3">
      <c r="A411" s="28"/>
      <c r="B411" s="29" t="s">
        <v>1014</v>
      </c>
      <c r="C411" s="30" t="s">
        <v>1015</v>
      </c>
      <c r="D411" s="30" t="s">
        <v>125</v>
      </c>
      <c r="E411" s="30" t="s">
        <v>206</v>
      </c>
      <c r="F411" s="30" t="s">
        <v>232</v>
      </c>
      <c r="G411" s="30" t="s">
        <v>233</v>
      </c>
      <c r="H411" s="31" t="s">
        <v>208</v>
      </c>
      <c r="I411" s="30"/>
      <c r="J411" s="30"/>
      <c r="K411" s="32"/>
    </row>
    <row r="412" spans="1:11" x14ac:dyDescent="0.3">
      <c r="A412" s="28"/>
      <c r="B412" s="29" t="s">
        <v>145</v>
      </c>
      <c r="C412" s="30" t="s">
        <v>1016</v>
      </c>
      <c r="D412" s="30" t="s">
        <v>102</v>
      </c>
      <c r="E412" s="30" t="s">
        <v>206</v>
      </c>
      <c r="F412" s="30" t="s">
        <v>621</v>
      </c>
      <c r="G412" s="30" t="s">
        <v>285</v>
      </c>
      <c r="H412" s="31" t="s">
        <v>208</v>
      </c>
      <c r="I412" s="30"/>
      <c r="J412" s="30"/>
      <c r="K412" s="32"/>
    </row>
    <row r="413" spans="1:11" x14ac:dyDescent="0.3">
      <c r="A413" s="28"/>
      <c r="B413" s="29" t="s">
        <v>1017</v>
      </c>
      <c r="C413" s="30" t="s">
        <v>1018</v>
      </c>
      <c r="D413" s="30" t="s">
        <v>218</v>
      </c>
      <c r="E413" s="30" t="s">
        <v>212</v>
      </c>
      <c r="F413" s="30" t="s">
        <v>1019</v>
      </c>
      <c r="G413" s="30" t="s">
        <v>285</v>
      </c>
      <c r="H413" s="31" t="s">
        <v>208</v>
      </c>
      <c r="I413" s="30"/>
      <c r="J413" s="30"/>
      <c r="K413" s="32"/>
    </row>
    <row r="414" spans="1:11" x14ac:dyDescent="0.3">
      <c r="A414" s="28"/>
      <c r="B414" s="29" t="s">
        <v>1020</v>
      </c>
      <c r="C414" s="30" t="s">
        <v>1021</v>
      </c>
      <c r="D414" s="30" t="s">
        <v>125</v>
      </c>
      <c r="E414" s="30" t="s">
        <v>224</v>
      </c>
      <c r="F414" s="30"/>
      <c r="G414" s="30" t="s">
        <v>207</v>
      </c>
      <c r="H414" s="31" t="s">
        <v>208</v>
      </c>
      <c r="I414" s="30"/>
      <c r="J414" s="30"/>
      <c r="K414" s="32"/>
    </row>
    <row r="415" spans="1:11" x14ac:dyDescent="0.3">
      <c r="A415" s="28"/>
      <c r="B415" s="29" t="s">
        <v>1022</v>
      </c>
      <c r="C415" s="30" t="s">
        <v>1023</v>
      </c>
      <c r="D415" s="30" t="s">
        <v>125</v>
      </c>
      <c r="E415" s="30" t="s">
        <v>224</v>
      </c>
      <c r="F415" s="30"/>
      <c r="G415" s="30" t="s">
        <v>207</v>
      </c>
      <c r="H415" s="31" t="s">
        <v>208</v>
      </c>
      <c r="I415" s="30"/>
      <c r="J415" s="30"/>
      <c r="K415" s="32"/>
    </row>
    <row r="416" spans="1:11" x14ac:dyDescent="0.3">
      <c r="A416" s="28"/>
      <c r="B416" s="29" t="s">
        <v>1024</v>
      </c>
      <c r="C416" s="30" t="s">
        <v>1025</v>
      </c>
      <c r="D416" s="30" t="s">
        <v>29</v>
      </c>
      <c r="E416" s="30" t="s">
        <v>212</v>
      </c>
      <c r="F416" s="30" t="s">
        <v>868</v>
      </c>
      <c r="G416" s="30" t="s">
        <v>233</v>
      </c>
      <c r="H416" s="31" t="s">
        <v>208</v>
      </c>
      <c r="I416" s="30"/>
      <c r="J416" s="30"/>
      <c r="K416" s="32"/>
    </row>
    <row r="417" spans="1:11" x14ac:dyDescent="0.3">
      <c r="A417" s="28"/>
      <c r="B417" s="29" t="s">
        <v>91</v>
      </c>
      <c r="C417" s="30" t="s">
        <v>1026</v>
      </c>
      <c r="D417" s="30" t="s">
        <v>29</v>
      </c>
      <c r="E417" s="30" t="s">
        <v>206</v>
      </c>
      <c r="F417" s="30"/>
      <c r="G417" s="30" t="s">
        <v>207</v>
      </c>
      <c r="H417" s="31" t="s">
        <v>208</v>
      </c>
      <c r="I417" s="30"/>
      <c r="J417" s="30"/>
      <c r="K417" s="32"/>
    </row>
    <row r="418" spans="1:11" x14ac:dyDescent="0.3">
      <c r="A418" s="28"/>
      <c r="B418" s="29" t="s">
        <v>1027</v>
      </c>
      <c r="C418" s="30" t="s">
        <v>1028</v>
      </c>
      <c r="D418" s="30" t="s">
        <v>125</v>
      </c>
      <c r="E418" s="30" t="s">
        <v>206</v>
      </c>
      <c r="F418" s="30"/>
      <c r="G418" s="30" t="s">
        <v>227</v>
      </c>
      <c r="H418" s="33" t="s">
        <v>215</v>
      </c>
      <c r="I418" s="30"/>
      <c r="J418" s="30"/>
      <c r="K418" s="32"/>
    </row>
    <row r="419" spans="1:11" x14ac:dyDescent="0.3">
      <c r="A419" s="28"/>
      <c r="B419" s="29" t="s">
        <v>1029</v>
      </c>
      <c r="C419" s="30" t="s">
        <v>1030</v>
      </c>
      <c r="D419" s="30" t="s">
        <v>125</v>
      </c>
      <c r="E419" s="30" t="s">
        <v>224</v>
      </c>
      <c r="F419" s="30"/>
      <c r="G419" s="30" t="s">
        <v>207</v>
      </c>
      <c r="H419" s="31" t="s">
        <v>208</v>
      </c>
      <c r="I419" s="30"/>
      <c r="J419" s="30"/>
      <c r="K419" s="32"/>
    </row>
    <row r="420" spans="1:11" x14ac:dyDescent="0.3">
      <c r="A420" s="28"/>
      <c r="B420" s="29" t="s">
        <v>1031</v>
      </c>
      <c r="C420" s="30" t="s">
        <v>1032</v>
      </c>
      <c r="D420" s="30" t="s">
        <v>125</v>
      </c>
      <c r="E420" s="30" t="s">
        <v>206</v>
      </c>
      <c r="F420" s="30"/>
      <c r="G420" s="30" t="s">
        <v>207</v>
      </c>
      <c r="H420" s="31" t="s">
        <v>208</v>
      </c>
      <c r="I420" s="30"/>
      <c r="J420" s="30"/>
      <c r="K420" s="32"/>
    </row>
    <row r="421" spans="1:11" x14ac:dyDescent="0.3">
      <c r="A421" s="28"/>
      <c r="B421" s="29" t="s">
        <v>1033</v>
      </c>
      <c r="C421" s="30" t="s">
        <v>1034</v>
      </c>
      <c r="D421" s="30" t="s">
        <v>218</v>
      </c>
      <c r="E421" s="30" t="s">
        <v>212</v>
      </c>
      <c r="F421" s="30" t="s">
        <v>1035</v>
      </c>
      <c r="G421" s="30" t="s">
        <v>269</v>
      </c>
      <c r="H421" s="33" t="s">
        <v>215</v>
      </c>
      <c r="I421" s="30"/>
      <c r="J421" s="30"/>
      <c r="K421" s="32"/>
    </row>
    <row r="422" spans="1:11" x14ac:dyDescent="0.3">
      <c r="A422" s="28"/>
      <c r="B422" s="29" t="s">
        <v>59</v>
      </c>
      <c r="C422" s="30" t="s">
        <v>1036</v>
      </c>
      <c r="D422" s="30" t="s">
        <v>29</v>
      </c>
      <c r="E422" s="30" t="s">
        <v>206</v>
      </c>
      <c r="F422" s="30" t="s">
        <v>277</v>
      </c>
      <c r="G422" s="30" t="s">
        <v>207</v>
      </c>
      <c r="H422" s="31" t="s">
        <v>208</v>
      </c>
      <c r="I422" s="30"/>
      <c r="J422" s="30"/>
      <c r="K422" s="32"/>
    </row>
    <row r="423" spans="1:11" x14ac:dyDescent="0.3">
      <c r="A423" s="28"/>
      <c r="B423" s="29" t="s">
        <v>1037</v>
      </c>
      <c r="C423" s="30" t="s">
        <v>1038</v>
      </c>
      <c r="D423" s="30" t="s">
        <v>125</v>
      </c>
      <c r="E423" s="30" t="s">
        <v>206</v>
      </c>
      <c r="F423" s="30" t="s">
        <v>1039</v>
      </c>
      <c r="G423" s="30" t="s">
        <v>159</v>
      </c>
      <c r="H423" s="33" t="s">
        <v>215</v>
      </c>
      <c r="I423" s="30"/>
      <c r="J423" s="30"/>
      <c r="K423" s="32"/>
    </row>
    <row r="424" spans="1:11" x14ac:dyDescent="0.3">
      <c r="A424" s="28"/>
      <c r="B424" s="29" t="s">
        <v>1040</v>
      </c>
      <c r="C424" s="30" t="s">
        <v>1041</v>
      </c>
      <c r="D424" s="30" t="s">
        <v>29</v>
      </c>
      <c r="E424" s="30" t="s">
        <v>212</v>
      </c>
      <c r="F424" s="30"/>
      <c r="G424" s="30" t="s">
        <v>207</v>
      </c>
      <c r="H424" s="31" t="s">
        <v>208</v>
      </c>
      <c r="I424" s="30"/>
      <c r="J424" s="30"/>
      <c r="K424" s="32"/>
    </row>
    <row r="425" spans="1:11" x14ac:dyDescent="0.3">
      <c r="A425" s="28"/>
      <c r="B425" s="29" t="s">
        <v>1042</v>
      </c>
      <c r="C425" s="30" t="s">
        <v>1043</v>
      </c>
      <c r="D425" s="30" t="s">
        <v>125</v>
      </c>
      <c r="E425" s="30" t="s">
        <v>206</v>
      </c>
      <c r="F425" s="30"/>
      <c r="G425" s="30" t="s">
        <v>207</v>
      </c>
      <c r="H425" s="31" t="s">
        <v>208</v>
      </c>
      <c r="I425" s="30"/>
      <c r="J425" s="30"/>
      <c r="K425" s="32"/>
    </row>
    <row r="426" spans="1:11" x14ac:dyDescent="0.3">
      <c r="A426" s="28"/>
      <c r="B426" s="29" t="s">
        <v>101</v>
      </c>
      <c r="C426" s="30" t="s">
        <v>1044</v>
      </c>
      <c r="D426" s="30" t="s">
        <v>102</v>
      </c>
      <c r="E426" s="30" t="s">
        <v>206</v>
      </c>
      <c r="F426" s="30"/>
      <c r="G426" s="30" t="s">
        <v>207</v>
      </c>
      <c r="H426" s="31" t="s">
        <v>208</v>
      </c>
      <c r="I426" s="30"/>
      <c r="J426" s="30"/>
      <c r="K426" s="32"/>
    </row>
    <row r="427" spans="1:11" x14ac:dyDescent="0.3">
      <c r="A427" s="28"/>
      <c r="B427" s="29" t="s">
        <v>1045</v>
      </c>
      <c r="C427" s="30" t="s">
        <v>1046</v>
      </c>
      <c r="D427" s="30" t="s">
        <v>218</v>
      </c>
      <c r="E427" s="30" t="s">
        <v>212</v>
      </c>
      <c r="F427" s="30"/>
      <c r="G427" s="30" t="s">
        <v>207</v>
      </c>
      <c r="H427" s="31" t="s">
        <v>208</v>
      </c>
      <c r="I427" s="30"/>
      <c r="J427" s="30"/>
      <c r="K427" s="32"/>
    </row>
    <row r="428" spans="1:11" x14ac:dyDescent="0.3">
      <c r="A428" s="28"/>
      <c r="B428" s="29" t="s">
        <v>1047</v>
      </c>
      <c r="C428" s="30" t="s">
        <v>1048</v>
      </c>
      <c r="D428" s="30" t="s">
        <v>274</v>
      </c>
      <c r="E428" s="30" t="s">
        <v>212</v>
      </c>
      <c r="F428" s="30"/>
      <c r="G428" s="30" t="s">
        <v>227</v>
      </c>
      <c r="H428" s="33" t="s">
        <v>215</v>
      </c>
      <c r="I428" s="30"/>
      <c r="J428" s="30"/>
      <c r="K428" s="32"/>
    </row>
    <row r="429" spans="1:11" x14ac:dyDescent="0.3">
      <c r="A429" s="28"/>
      <c r="B429" s="29" t="s">
        <v>181</v>
      </c>
      <c r="C429" s="30" t="s">
        <v>1049</v>
      </c>
      <c r="D429" s="30" t="s">
        <v>29</v>
      </c>
      <c r="E429" s="30" t="s">
        <v>206</v>
      </c>
      <c r="F429" s="30"/>
      <c r="G429" s="30" t="s">
        <v>227</v>
      </c>
      <c r="H429" s="33" t="s">
        <v>215</v>
      </c>
      <c r="I429" s="30"/>
      <c r="J429" s="30"/>
      <c r="K429" s="32"/>
    </row>
    <row r="430" spans="1:11" x14ac:dyDescent="0.3">
      <c r="A430" s="28"/>
      <c r="B430" s="29" t="s">
        <v>49</v>
      </c>
      <c r="C430" s="30" t="s">
        <v>1050</v>
      </c>
      <c r="D430" s="30" t="s">
        <v>29</v>
      </c>
      <c r="E430" s="30" t="s">
        <v>206</v>
      </c>
      <c r="F430" s="30"/>
      <c r="G430" s="30" t="s">
        <v>207</v>
      </c>
      <c r="H430" s="31" t="s">
        <v>208</v>
      </c>
      <c r="I430" s="30"/>
      <c r="J430" s="30"/>
      <c r="K430" s="32"/>
    </row>
    <row r="431" spans="1:11" x14ac:dyDescent="0.3">
      <c r="A431" s="28"/>
      <c r="B431" s="29" t="s">
        <v>1051</v>
      </c>
      <c r="C431" s="30" t="s">
        <v>1052</v>
      </c>
      <c r="D431" s="30" t="s">
        <v>274</v>
      </c>
      <c r="E431" s="30" t="s">
        <v>212</v>
      </c>
      <c r="F431" s="30" t="s">
        <v>275</v>
      </c>
      <c r="G431" s="30" t="s">
        <v>207</v>
      </c>
      <c r="H431" s="31" t="s">
        <v>208</v>
      </c>
      <c r="I431" s="30"/>
      <c r="J431" s="30"/>
      <c r="K431" s="32"/>
    </row>
    <row r="432" spans="1:11" x14ac:dyDescent="0.3">
      <c r="A432" s="28"/>
      <c r="B432" s="29" t="s">
        <v>156</v>
      </c>
      <c r="C432" s="30" t="s">
        <v>1053</v>
      </c>
      <c r="D432" s="30" t="s">
        <v>29</v>
      </c>
      <c r="E432" s="30" t="s">
        <v>206</v>
      </c>
      <c r="F432" s="30" t="s">
        <v>447</v>
      </c>
      <c r="G432" s="30" t="s">
        <v>159</v>
      </c>
      <c r="H432" s="33" t="s">
        <v>215</v>
      </c>
      <c r="I432" s="30"/>
      <c r="J432" s="30"/>
      <c r="K432" s="32"/>
    </row>
    <row r="433" spans="1:11" x14ac:dyDescent="0.3">
      <c r="A433" s="28"/>
      <c r="B433" s="29" t="s">
        <v>44</v>
      </c>
      <c r="C433" s="30" t="s">
        <v>1054</v>
      </c>
      <c r="D433" s="30" t="s">
        <v>29</v>
      </c>
      <c r="E433" s="30" t="s">
        <v>206</v>
      </c>
      <c r="F433" s="30" t="s">
        <v>1055</v>
      </c>
      <c r="G433" s="30" t="s">
        <v>207</v>
      </c>
      <c r="H433" s="31" t="s">
        <v>208</v>
      </c>
      <c r="I433" s="30"/>
      <c r="J433" s="30"/>
      <c r="K433" s="32"/>
    </row>
    <row r="434" spans="1:11" x14ac:dyDescent="0.3">
      <c r="A434" s="28"/>
      <c r="B434" s="29" t="s">
        <v>57</v>
      </c>
      <c r="C434" s="30" t="s">
        <v>1056</v>
      </c>
      <c r="D434" s="30" t="s">
        <v>29</v>
      </c>
      <c r="E434" s="30" t="s">
        <v>206</v>
      </c>
      <c r="F434" s="30"/>
      <c r="G434" s="30" t="s">
        <v>207</v>
      </c>
      <c r="H434" s="31" t="s">
        <v>208</v>
      </c>
      <c r="I434" s="30"/>
      <c r="J434" s="30"/>
      <c r="K434" s="32"/>
    </row>
    <row r="435" spans="1:11" x14ac:dyDescent="0.3">
      <c r="A435" s="28"/>
      <c r="B435" s="29" t="s">
        <v>124</v>
      </c>
      <c r="C435" s="30" t="s">
        <v>1057</v>
      </c>
      <c r="D435" s="30" t="s">
        <v>125</v>
      </c>
      <c r="E435" s="30" t="s">
        <v>206</v>
      </c>
      <c r="F435" s="30" t="s">
        <v>461</v>
      </c>
      <c r="G435" s="30" t="s">
        <v>233</v>
      </c>
      <c r="H435" s="31" t="s">
        <v>208</v>
      </c>
      <c r="I435" s="30"/>
      <c r="J435" s="30"/>
      <c r="K435" s="32"/>
    </row>
    <row r="436" spans="1:11" x14ac:dyDescent="0.3">
      <c r="A436" s="28"/>
      <c r="B436" s="29" t="s">
        <v>1058</v>
      </c>
      <c r="C436" s="30" t="s">
        <v>1059</v>
      </c>
      <c r="D436" s="30" t="s">
        <v>125</v>
      </c>
      <c r="E436" s="30" t="s">
        <v>224</v>
      </c>
      <c r="F436" s="30"/>
      <c r="G436" s="30" t="s">
        <v>227</v>
      </c>
      <c r="H436" s="33" t="s">
        <v>215</v>
      </c>
      <c r="I436" s="30"/>
      <c r="J436" s="30"/>
      <c r="K436" s="32"/>
    </row>
    <row r="437" spans="1:11" x14ac:dyDescent="0.3">
      <c r="A437" s="28"/>
      <c r="B437" s="29" t="s">
        <v>138</v>
      </c>
      <c r="C437" s="30" t="s">
        <v>1060</v>
      </c>
      <c r="D437" s="30" t="s">
        <v>29</v>
      </c>
      <c r="E437" s="30" t="s">
        <v>206</v>
      </c>
      <c r="F437" s="30" t="s">
        <v>252</v>
      </c>
      <c r="G437" s="30" t="s">
        <v>253</v>
      </c>
      <c r="H437" s="31" t="s">
        <v>208</v>
      </c>
      <c r="I437" s="30"/>
      <c r="J437" s="30"/>
      <c r="K437" s="32"/>
    </row>
    <row r="438" spans="1:11" x14ac:dyDescent="0.3">
      <c r="A438" s="28"/>
      <c r="B438" s="29" t="s">
        <v>65</v>
      </c>
      <c r="C438" s="30" t="s">
        <v>1061</v>
      </c>
      <c r="D438" s="30" t="s">
        <v>29</v>
      </c>
      <c r="E438" s="30" t="s">
        <v>206</v>
      </c>
      <c r="F438" s="30"/>
      <c r="G438" s="30" t="s">
        <v>207</v>
      </c>
      <c r="H438" s="31" t="s">
        <v>208</v>
      </c>
      <c r="I438" s="30"/>
      <c r="J438" s="30"/>
      <c r="K438" s="32"/>
    </row>
    <row r="439" spans="1:11" x14ac:dyDescent="0.3">
      <c r="A439" s="28"/>
      <c r="B439" s="29" t="s">
        <v>1062</v>
      </c>
      <c r="C439" s="30" t="s">
        <v>1063</v>
      </c>
      <c r="D439" s="30" t="s">
        <v>125</v>
      </c>
      <c r="E439" s="30" t="s">
        <v>224</v>
      </c>
      <c r="F439" s="30"/>
      <c r="G439" s="30" t="s">
        <v>207</v>
      </c>
      <c r="H439" s="31" t="s">
        <v>208</v>
      </c>
      <c r="I439" s="30"/>
      <c r="J439" s="30"/>
      <c r="K439" s="32"/>
    </row>
    <row r="440" spans="1:11" x14ac:dyDescent="0.3">
      <c r="A440" s="28"/>
      <c r="B440" s="29" t="s">
        <v>1064</v>
      </c>
      <c r="C440" s="30" t="s">
        <v>1065</v>
      </c>
      <c r="D440" s="30" t="s">
        <v>274</v>
      </c>
      <c r="E440" s="30" t="s">
        <v>212</v>
      </c>
      <c r="F440" s="30" t="s">
        <v>1066</v>
      </c>
      <c r="G440" s="30" t="s">
        <v>233</v>
      </c>
      <c r="H440" s="31" t="s">
        <v>208</v>
      </c>
      <c r="I440" s="30"/>
      <c r="J440" s="30"/>
      <c r="K440" s="32"/>
    </row>
    <row r="441" spans="1:11" x14ac:dyDescent="0.3">
      <c r="A441" s="28"/>
      <c r="B441" s="29" t="s">
        <v>1067</v>
      </c>
      <c r="C441" s="30" t="s">
        <v>1068</v>
      </c>
      <c r="D441" s="30" t="s">
        <v>29</v>
      </c>
      <c r="E441" s="30" t="s">
        <v>206</v>
      </c>
      <c r="F441" s="30"/>
      <c r="G441" s="30" t="s">
        <v>207</v>
      </c>
      <c r="H441" s="31" t="s">
        <v>208</v>
      </c>
      <c r="I441" s="30"/>
      <c r="J441" s="30"/>
      <c r="K441" s="32"/>
    </row>
    <row r="442" spans="1:11" x14ac:dyDescent="0.3">
      <c r="A442" s="28"/>
      <c r="B442" s="29" t="s">
        <v>193</v>
      </c>
      <c r="C442" s="30" t="s">
        <v>1069</v>
      </c>
      <c r="D442" s="30" t="s">
        <v>29</v>
      </c>
      <c r="E442" s="30" t="s">
        <v>206</v>
      </c>
      <c r="F442" s="30" t="s">
        <v>1070</v>
      </c>
      <c r="G442" s="30" t="s">
        <v>214</v>
      </c>
      <c r="H442" s="33" t="s">
        <v>215</v>
      </c>
      <c r="I442" s="30"/>
      <c r="J442" s="30"/>
      <c r="K442" s="32"/>
    </row>
    <row r="443" spans="1:11" x14ac:dyDescent="0.3">
      <c r="A443" s="28"/>
      <c r="B443" s="29" t="s">
        <v>67</v>
      </c>
      <c r="C443" s="30" t="s">
        <v>1071</v>
      </c>
      <c r="D443" s="30" t="s">
        <v>29</v>
      </c>
      <c r="E443" s="30" t="s">
        <v>206</v>
      </c>
      <c r="F443" s="30"/>
      <c r="G443" s="30" t="s">
        <v>207</v>
      </c>
      <c r="H443" s="31" t="s">
        <v>208</v>
      </c>
      <c r="I443" s="30"/>
      <c r="J443" s="30"/>
      <c r="K443" s="32"/>
    </row>
    <row r="444" spans="1:11" x14ac:dyDescent="0.3">
      <c r="A444" s="28"/>
      <c r="B444" s="29" t="s">
        <v>1072</v>
      </c>
      <c r="C444" s="30" t="s">
        <v>1073</v>
      </c>
      <c r="D444" s="30" t="s">
        <v>218</v>
      </c>
      <c r="E444" s="30" t="s">
        <v>212</v>
      </c>
      <c r="F444" s="30" t="s">
        <v>921</v>
      </c>
      <c r="G444" s="30" t="s">
        <v>285</v>
      </c>
      <c r="H444" s="31" t="s">
        <v>208</v>
      </c>
      <c r="I444" s="30"/>
      <c r="J444" s="30"/>
      <c r="K444" s="32"/>
    </row>
    <row r="445" spans="1:11" x14ac:dyDescent="0.3">
      <c r="A445" s="28"/>
      <c r="B445" s="29" t="s">
        <v>1074</v>
      </c>
      <c r="C445" s="30" t="s">
        <v>1075</v>
      </c>
      <c r="D445" s="30" t="s">
        <v>125</v>
      </c>
      <c r="E445" s="30" t="s">
        <v>224</v>
      </c>
      <c r="F445" s="30"/>
      <c r="G445" s="30" t="s">
        <v>207</v>
      </c>
      <c r="H445" s="31" t="s">
        <v>208</v>
      </c>
      <c r="I445" s="30"/>
      <c r="J445" s="30"/>
      <c r="K445" s="32"/>
    </row>
    <row r="446" spans="1:11" x14ac:dyDescent="0.3">
      <c r="A446" s="28"/>
      <c r="B446" s="29" t="s">
        <v>1076</v>
      </c>
      <c r="C446" s="30" t="s">
        <v>1077</v>
      </c>
      <c r="D446" s="30" t="s">
        <v>29</v>
      </c>
      <c r="E446" s="30" t="s">
        <v>206</v>
      </c>
      <c r="F446" s="30"/>
      <c r="G446" s="30" t="s">
        <v>207</v>
      </c>
      <c r="H446" s="31" t="s">
        <v>208</v>
      </c>
      <c r="I446" s="30"/>
      <c r="J446" s="30"/>
      <c r="K446" s="32"/>
    </row>
    <row r="447" spans="1:11" x14ac:dyDescent="0.3">
      <c r="A447" s="28"/>
      <c r="B447" s="29" t="s">
        <v>1078</v>
      </c>
      <c r="C447" s="30" t="s">
        <v>1079</v>
      </c>
      <c r="D447" s="30" t="s">
        <v>125</v>
      </c>
      <c r="E447" s="30" t="s">
        <v>224</v>
      </c>
      <c r="F447" s="30"/>
      <c r="G447" s="30" t="s">
        <v>207</v>
      </c>
      <c r="H447" s="31" t="s">
        <v>208</v>
      </c>
      <c r="I447" s="30"/>
      <c r="J447" s="30"/>
      <c r="K447" s="32"/>
    </row>
    <row r="448" spans="1:11" x14ac:dyDescent="0.3">
      <c r="A448" s="28"/>
      <c r="B448" s="29" t="s">
        <v>1080</v>
      </c>
      <c r="C448" s="30" t="s">
        <v>1081</v>
      </c>
      <c r="D448" s="30" t="s">
        <v>125</v>
      </c>
      <c r="E448" s="30" t="s">
        <v>224</v>
      </c>
      <c r="F448" s="30"/>
      <c r="G448" s="30" t="s">
        <v>207</v>
      </c>
      <c r="H448" s="31" t="s">
        <v>208</v>
      </c>
      <c r="I448" s="30"/>
      <c r="J448" s="30"/>
      <c r="K448" s="32"/>
    </row>
    <row r="449" spans="1:11" x14ac:dyDescent="0.3">
      <c r="A449" s="28"/>
      <c r="B449" s="29" t="s">
        <v>1082</v>
      </c>
      <c r="C449" s="30" t="s">
        <v>1083</v>
      </c>
      <c r="D449" s="30" t="s">
        <v>218</v>
      </c>
      <c r="E449" s="30" t="s">
        <v>212</v>
      </c>
      <c r="F449" s="30" t="s">
        <v>447</v>
      </c>
      <c r="G449" s="30" t="s">
        <v>159</v>
      </c>
      <c r="H449" s="33" t="s">
        <v>215</v>
      </c>
      <c r="I449" s="30"/>
      <c r="J449" s="30"/>
      <c r="K449" s="32"/>
    </row>
    <row r="450" spans="1:11" x14ac:dyDescent="0.3">
      <c r="A450" s="28"/>
      <c r="B450" s="29" t="s">
        <v>1084</v>
      </c>
      <c r="C450" s="30" t="s">
        <v>1085</v>
      </c>
      <c r="D450" s="30" t="s">
        <v>125</v>
      </c>
      <c r="E450" s="30" t="s">
        <v>206</v>
      </c>
      <c r="F450" s="30"/>
      <c r="G450" s="30" t="s">
        <v>207</v>
      </c>
      <c r="H450" s="31" t="s">
        <v>208</v>
      </c>
      <c r="I450" s="30"/>
      <c r="J450" s="30"/>
      <c r="K450" s="32"/>
    </row>
    <row r="451" spans="1:11" x14ac:dyDescent="0.3">
      <c r="A451" s="28"/>
      <c r="B451" s="29" t="s">
        <v>1086</v>
      </c>
      <c r="C451" s="30" t="s">
        <v>1087</v>
      </c>
      <c r="D451" s="30" t="s">
        <v>125</v>
      </c>
      <c r="E451" s="30" t="s">
        <v>206</v>
      </c>
      <c r="F451" s="30"/>
      <c r="G451" s="30" t="s">
        <v>207</v>
      </c>
      <c r="H451" s="31" t="s">
        <v>208</v>
      </c>
      <c r="I451" s="30"/>
      <c r="J451" s="30"/>
      <c r="K451" s="32"/>
    </row>
    <row r="452" spans="1:11" x14ac:dyDescent="0.3">
      <c r="A452" s="28"/>
      <c r="B452" s="29" t="s">
        <v>1088</v>
      </c>
      <c r="C452" s="30" t="s">
        <v>1089</v>
      </c>
      <c r="D452" s="30" t="s">
        <v>29</v>
      </c>
      <c r="E452" s="30" t="s">
        <v>206</v>
      </c>
      <c r="F452" s="30"/>
      <c r="G452" s="30" t="s">
        <v>207</v>
      </c>
      <c r="H452" s="31" t="s">
        <v>208</v>
      </c>
      <c r="I452" s="30"/>
      <c r="J452" s="30"/>
      <c r="K452" s="32"/>
    </row>
    <row r="453" spans="1:11" x14ac:dyDescent="0.3">
      <c r="A453" s="28"/>
      <c r="B453" s="29" t="s">
        <v>135</v>
      </c>
      <c r="C453" s="30" t="s">
        <v>1090</v>
      </c>
      <c r="D453" s="30" t="s">
        <v>29</v>
      </c>
      <c r="E453" s="30" t="s">
        <v>206</v>
      </c>
      <c r="F453" s="30" t="s">
        <v>861</v>
      </c>
      <c r="G453" s="30" t="s">
        <v>253</v>
      </c>
      <c r="H453" s="31" t="s">
        <v>208</v>
      </c>
      <c r="I453" s="30"/>
      <c r="J453" s="30"/>
      <c r="K453" s="32"/>
    </row>
    <row r="454" spans="1:11" x14ac:dyDescent="0.3">
      <c r="A454" s="28"/>
      <c r="B454" s="29" t="s">
        <v>1091</v>
      </c>
      <c r="C454" s="30" t="s">
        <v>1092</v>
      </c>
      <c r="D454" s="30" t="s">
        <v>125</v>
      </c>
      <c r="E454" s="30" t="s">
        <v>206</v>
      </c>
      <c r="F454" s="30"/>
      <c r="G454" s="30" t="s">
        <v>207</v>
      </c>
      <c r="H454" s="31" t="s">
        <v>208</v>
      </c>
      <c r="I454" s="30"/>
      <c r="J454" s="30"/>
      <c r="K454" s="32"/>
    </row>
    <row r="455" spans="1:11" x14ac:dyDescent="0.3">
      <c r="A455" s="28"/>
      <c r="B455" s="29" t="s">
        <v>1093</v>
      </c>
      <c r="C455" s="30" t="s">
        <v>1094</v>
      </c>
      <c r="D455" s="30" t="s">
        <v>125</v>
      </c>
      <c r="E455" s="30" t="s">
        <v>224</v>
      </c>
      <c r="F455" s="30" t="s">
        <v>978</v>
      </c>
      <c r="G455" s="30" t="s">
        <v>207</v>
      </c>
      <c r="H455" s="31" t="s">
        <v>208</v>
      </c>
      <c r="I455" s="30"/>
      <c r="J455" s="30"/>
      <c r="K455" s="32"/>
    </row>
    <row r="456" spans="1:11" x14ac:dyDescent="0.3">
      <c r="A456" s="28"/>
      <c r="B456" s="29" t="s">
        <v>56</v>
      </c>
      <c r="C456" s="30" t="s">
        <v>1095</v>
      </c>
      <c r="D456" s="30" t="s">
        <v>29</v>
      </c>
      <c r="E456" s="30" t="s">
        <v>206</v>
      </c>
      <c r="F456" s="30"/>
      <c r="G456" s="30" t="s">
        <v>207</v>
      </c>
      <c r="H456" s="31" t="s">
        <v>208</v>
      </c>
      <c r="I456" s="30"/>
      <c r="J456" s="30"/>
      <c r="K456" s="32"/>
    </row>
    <row r="457" spans="1:11" x14ac:dyDescent="0.3">
      <c r="A457" s="28"/>
      <c r="B457" s="29" t="s">
        <v>1096</v>
      </c>
      <c r="C457" s="30" t="s">
        <v>1097</v>
      </c>
      <c r="D457" s="30" t="s">
        <v>125</v>
      </c>
      <c r="E457" s="30" t="s">
        <v>224</v>
      </c>
      <c r="F457" s="30" t="s">
        <v>1098</v>
      </c>
      <c r="G457" s="30" t="s">
        <v>379</v>
      </c>
      <c r="H457" s="33" t="s">
        <v>215</v>
      </c>
      <c r="I457" s="30"/>
      <c r="J457" s="30"/>
      <c r="K457" s="32"/>
    </row>
    <row r="458" spans="1:11" x14ac:dyDescent="0.3">
      <c r="A458" s="28"/>
      <c r="B458" s="29" t="s">
        <v>1099</v>
      </c>
      <c r="C458" s="30" t="s">
        <v>1100</v>
      </c>
      <c r="D458" s="30" t="s">
        <v>125</v>
      </c>
      <c r="E458" s="30" t="s">
        <v>224</v>
      </c>
      <c r="F458" s="30"/>
      <c r="G458" s="30" t="s">
        <v>227</v>
      </c>
      <c r="H458" s="33" t="s">
        <v>215</v>
      </c>
      <c r="I458" s="30"/>
      <c r="J458" s="30"/>
      <c r="K458" s="32"/>
    </row>
    <row r="459" spans="1:11" x14ac:dyDescent="0.3">
      <c r="A459" s="28"/>
      <c r="B459" s="29" t="s">
        <v>1101</v>
      </c>
      <c r="C459" s="30" t="s">
        <v>1102</v>
      </c>
      <c r="D459" s="30" t="s">
        <v>29</v>
      </c>
      <c r="E459" s="30" t="s">
        <v>212</v>
      </c>
      <c r="F459" s="30"/>
      <c r="G459" s="30" t="s">
        <v>207</v>
      </c>
      <c r="H459" s="31" t="s">
        <v>208</v>
      </c>
      <c r="I459" s="30"/>
      <c r="J459" s="30"/>
      <c r="K459" s="32"/>
    </row>
    <row r="460" spans="1:11" x14ac:dyDescent="0.3">
      <c r="A460" s="28"/>
      <c r="B460" s="29" t="s">
        <v>1103</v>
      </c>
      <c r="C460" s="30" t="s">
        <v>1104</v>
      </c>
      <c r="D460" s="30" t="s">
        <v>125</v>
      </c>
      <c r="E460" s="30" t="s">
        <v>224</v>
      </c>
      <c r="F460" s="30"/>
      <c r="G460" s="30" t="s">
        <v>227</v>
      </c>
      <c r="H460" s="33" t="s">
        <v>215</v>
      </c>
      <c r="I460" s="30"/>
      <c r="J460" s="30"/>
      <c r="K460" s="32"/>
    </row>
    <row r="461" spans="1:11" x14ac:dyDescent="0.3">
      <c r="A461" s="28"/>
      <c r="B461" s="29" t="s">
        <v>1105</v>
      </c>
      <c r="C461" s="30" t="s">
        <v>1106</v>
      </c>
      <c r="D461" s="30" t="s">
        <v>102</v>
      </c>
      <c r="E461" s="30" t="s">
        <v>212</v>
      </c>
      <c r="F461" s="30"/>
      <c r="G461" s="30" t="s">
        <v>207</v>
      </c>
      <c r="H461" s="31" t="s">
        <v>208</v>
      </c>
      <c r="I461" s="30"/>
      <c r="J461" s="30"/>
      <c r="K461" s="32"/>
    </row>
    <row r="462" spans="1:11" x14ac:dyDescent="0.3">
      <c r="A462" s="28"/>
      <c r="B462" s="29" t="s">
        <v>1107</v>
      </c>
      <c r="C462" s="30" t="s">
        <v>1108</v>
      </c>
      <c r="D462" s="30" t="s">
        <v>102</v>
      </c>
      <c r="E462" s="30" t="s">
        <v>212</v>
      </c>
      <c r="F462" s="30" t="s">
        <v>1109</v>
      </c>
      <c r="G462" s="30" t="s">
        <v>159</v>
      </c>
      <c r="H462" s="33" t="s">
        <v>215</v>
      </c>
      <c r="I462" s="30"/>
      <c r="J462" s="30"/>
      <c r="K462" s="32"/>
    </row>
    <row r="463" spans="1:11" x14ac:dyDescent="0.3">
      <c r="A463" s="28"/>
      <c r="B463" s="29" t="s">
        <v>1110</v>
      </c>
      <c r="C463" s="30" t="s">
        <v>1111</v>
      </c>
      <c r="D463" s="30" t="s">
        <v>125</v>
      </c>
      <c r="E463" s="30" t="s">
        <v>224</v>
      </c>
      <c r="F463" s="30"/>
      <c r="G463" s="30" t="s">
        <v>207</v>
      </c>
      <c r="H463" s="31" t="s">
        <v>208</v>
      </c>
      <c r="I463" s="30"/>
      <c r="J463" s="30"/>
      <c r="K463" s="32"/>
    </row>
    <row r="464" spans="1:11" x14ac:dyDescent="0.3">
      <c r="A464" s="28"/>
      <c r="B464" s="29" t="s">
        <v>1112</v>
      </c>
      <c r="C464" s="30" t="s">
        <v>1113</v>
      </c>
      <c r="D464" s="30" t="s">
        <v>125</v>
      </c>
      <c r="E464" s="30" t="s">
        <v>206</v>
      </c>
      <c r="F464" s="30"/>
      <c r="G464" s="30" t="s">
        <v>207</v>
      </c>
      <c r="H464" s="31" t="s">
        <v>208</v>
      </c>
      <c r="I464" s="30"/>
      <c r="J464" s="30"/>
      <c r="K464" s="32"/>
    </row>
    <row r="465" spans="1:11" x14ac:dyDescent="0.3">
      <c r="A465" s="28"/>
      <c r="B465" s="29" t="s">
        <v>1114</v>
      </c>
      <c r="C465" s="30" t="s">
        <v>1115</v>
      </c>
      <c r="D465" s="30" t="s">
        <v>125</v>
      </c>
      <c r="E465" s="30" t="s">
        <v>206</v>
      </c>
      <c r="F465" s="30" t="s">
        <v>995</v>
      </c>
      <c r="G465" s="30" t="s">
        <v>159</v>
      </c>
      <c r="H465" s="33" t="s">
        <v>215</v>
      </c>
      <c r="I465" s="30"/>
      <c r="J465" s="30"/>
      <c r="K465" s="32"/>
    </row>
    <row r="466" spans="1:11" x14ac:dyDescent="0.3">
      <c r="A466" s="28"/>
      <c r="B466" s="29" t="s">
        <v>1116</v>
      </c>
      <c r="C466" s="30" t="s">
        <v>1117</v>
      </c>
      <c r="D466" s="30" t="s">
        <v>125</v>
      </c>
      <c r="E466" s="30" t="s">
        <v>224</v>
      </c>
      <c r="F466" s="30"/>
      <c r="G466" s="30" t="s">
        <v>207</v>
      </c>
      <c r="H466" s="31" t="s">
        <v>208</v>
      </c>
      <c r="I466" s="30"/>
      <c r="J466" s="30"/>
      <c r="K466" s="32"/>
    </row>
    <row r="467" spans="1:11" x14ac:dyDescent="0.3">
      <c r="A467" s="28"/>
      <c r="B467" s="29" t="s">
        <v>1118</v>
      </c>
      <c r="C467" s="30" t="s">
        <v>1119</v>
      </c>
      <c r="D467" s="30" t="s">
        <v>29</v>
      </c>
      <c r="E467" s="30" t="s">
        <v>206</v>
      </c>
      <c r="F467" s="30"/>
      <c r="G467" s="30" t="s">
        <v>227</v>
      </c>
      <c r="H467" s="33" t="s">
        <v>215</v>
      </c>
      <c r="I467" s="30"/>
      <c r="J467" s="30"/>
      <c r="K467" s="32"/>
    </row>
    <row r="468" spans="1:11" x14ac:dyDescent="0.3">
      <c r="A468" s="28"/>
      <c r="B468" s="29" t="s">
        <v>1120</v>
      </c>
      <c r="C468" s="30" t="s">
        <v>1121</v>
      </c>
      <c r="D468" s="30" t="s">
        <v>274</v>
      </c>
      <c r="E468" s="30" t="s">
        <v>212</v>
      </c>
      <c r="F468" s="30"/>
      <c r="G468" s="30" t="s">
        <v>207</v>
      </c>
      <c r="H468" s="31" t="s">
        <v>208</v>
      </c>
      <c r="I468" s="30"/>
      <c r="J468" s="30"/>
      <c r="K468" s="32"/>
    </row>
    <row r="469" spans="1:11" x14ac:dyDescent="0.3">
      <c r="A469" s="28"/>
      <c r="B469" s="29" t="s">
        <v>1122</v>
      </c>
      <c r="C469" s="30" t="s">
        <v>1123</v>
      </c>
      <c r="D469" s="30" t="s">
        <v>125</v>
      </c>
      <c r="E469" s="30" t="s">
        <v>224</v>
      </c>
      <c r="F469" s="30"/>
      <c r="G469" s="30" t="s">
        <v>207</v>
      </c>
      <c r="H469" s="31" t="s">
        <v>208</v>
      </c>
      <c r="I469" s="30"/>
      <c r="J469" s="30"/>
      <c r="K469" s="32"/>
    </row>
    <row r="470" spans="1:11" x14ac:dyDescent="0.3">
      <c r="A470" s="28"/>
      <c r="B470" s="29" t="s">
        <v>1124</v>
      </c>
      <c r="C470" s="30" t="s">
        <v>1125</v>
      </c>
      <c r="D470" s="30" t="s">
        <v>29</v>
      </c>
      <c r="E470" s="30" t="s">
        <v>212</v>
      </c>
      <c r="F470" s="30"/>
      <c r="G470" s="30" t="s">
        <v>227</v>
      </c>
      <c r="H470" s="33" t="s">
        <v>215</v>
      </c>
      <c r="I470" s="30"/>
      <c r="J470" s="30"/>
      <c r="K470" s="32"/>
    </row>
    <row r="471" spans="1:11" x14ac:dyDescent="0.3">
      <c r="A471" s="28"/>
      <c r="B471" s="29" t="s">
        <v>1126</v>
      </c>
      <c r="C471" s="30" t="s">
        <v>1127</v>
      </c>
      <c r="D471" s="30" t="s">
        <v>29</v>
      </c>
      <c r="E471" s="30" t="s">
        <v>212</v>
      </c>
      <c r="F471" s="30" t="s">
        <v>1128</v>
      </c>
      <c r="G471" s="30" t="s">
        <v>159</v>
      </c>
      <c r="H471" s="33" t="s">
        <v>215</v>
      </c>
      <c r="I471" s="30"/>
      <c r="J471" s="30"/>
      <c r="K471" s="32"/>
    </row>
    <row r="472" spans="1:11" x14ac:dyDescent="0.3">
      <c r="A472" s="28"/>
      <c r="B472" s="29" t="s">
        <v>1129</v>
      </c>
      <c r="C472" s="30" t="s">
        <v>1130</v>
      </c>
      <c r="D472" s="30" t="s">
        <v>29</v>
      </c>
      <c r="E472" s="30" t="s">
        <v>206</v>
      </c>
      <c r="F472" s="30" t="s">
        <v>487</v>
      </c>
      <c r="G472" s="30" t="s">
        <v>342</v>
      </c>
      <c r="H472" s="33" t="s">
        <v>215</v>
      </c>
      <c r="I472" s="30"/>
      <c r="J472" s="30"/>
      <c r="K472" s="32"/>
    </row>
    <row r="473" spans="1:11" x14ac:dyDescent="0.3">
      <c r="A473" s="28"/>
      <c r="B473" s="29" t="s">
        <v>54</v>
      </c>
      <c r="C473" s="30" t="s">
        <v>1131</v>
      </c>
      <c r="D473" s="30" t="s">
        <v>29</v>
      </c>
      <c r="E473" s="30" t="s">
        <v>206</v>
      </c>
      <c r="F473" s="30"/>
      <c r="G473" s="30" t="s">
        <v>207</v>
      </c>
      <c r="H473" s="31" t="s">
        <v>208</v>
      </c>
      <c r="I473" s="30"/>
      <c r="J473" s="30"/>
      <c r="K473" s="32"/>
    </row>
    <row r="474" spans="1:11" x14ac:dyDescent="0.3">
      <c r="A474" s="28"/>
      <c r="B474" s="29" t="s">
        <v>131</v>
      </c>
      <c r="C474" s="30" t="s">
        <v>1132</v>
      </c>
      <c r="D474" s="30" t="s">
        <v>29</v>
      </c>
      <c r="E474" s="30" t="s">
        <v>206</v>
      </c>
      <c r="F474" s="30" t="s">
        <v>373</v>
      </c>
      <c r="G474" s="30" t="s">
        <v>233</v>
      </c>
      <c r="H474" s="31" t="s">
        <v>208</v>
      </c>
      <c r="I474" s="30"/>
      <c r="J474" s="30"/>
      <c r="K474" s="32"/>
    </row>
    <row r="475" spans="1:11" x14ac:dyDescent="0.3">
      <c r="A475" s="28"/>
      <c r="B475" s="29" t="s">
        <v>1133</v>
      </c>
      <c r="C475" s="30" t="s">
        <v>1134</v>
      </c>
      <c r="D475" s="30" t="s">
        <v>125</v>
      </c>
      <c r="E475" s="30" t="s">
        <v>224</v>
      </c>
      <c r="F475" s="30"/>
      <c r="G475" s="30" t="s">
        <v>207</v>
      </c>
      <c r="H475" s="31" t="s">
        <v>208</v>
      </c>
      <c r="I475" s="30"/>
      <c r="J475" s="30"/>
      <c r="K475" s="32"/>
    </row>
    <row r="476" spans="1:11" x14ac:dyDescent="0.3">
      <c r="A476" s="28"/>
      <c r="B476" s="29" t="s">
        <v>1135</v>
      </c>
      <c r="C476" s="30" t="s">
        <v>1136</v>
      </c>
      <c r="D476" s="30" t="s">
        <v>29</v>
      </c>
      <c r="E476" s="30" t="s">
        <v>212</v>
      </c>
      <c r="F476" s="30"/>
      <c r="G476" s="30" t="s">
        <v>227</v>
      </c>
      <c r="H476" s="80" t="s">
        <v>215</v>
      </c>
      <c r="I476" s="41"/>
      <c r="J476" s="41"/>
      <c r="K476" s="41"/>
    </row>
  </sheetData>
  <sortState xmlns:xlrd2="http://schemas.microsoft.com/office/spreadsheetml/2017/richdata2" ref="A1:H348">
    <sortCondition ref="F2:F348"/>
    <sortCondition ref="G2:G348"/>
  </sortState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2D691-0261-41D4-9FBD-8E4CD716CAAD}">
  <sheetPr codeName="Sheet4">
    <tabColor theme="4" tint="0.39997558519241921"/>
  </sheetPr>
  <dimension ref="B2:Q17"/>
  <sheetViews>
    <sheetView showGridLines="0" zoomScaleNormal="100" workbookViewId="0">
      <selection activeCell="E20" sqref="E20"/>
    </sheetView>
  </sheetViews>
  <sheetFormatPr defaultColWidth="9.140625" defaultRowHeight="15" x14ac:dyDescent="0.25"/>
  <cols>
    <col min="1" max="1" width="4.7109375" style="12" customWidth="1"/>
    <col min="2" max="2" width="31.42578125" style="12" bestFit="1" customWidth="1"/>
    <col min="3" max="3" width="24.28515625" style="12" bestFit="1" customWidth="1"/>
    <col min="4" max="4" width="25.42578125" style="12" bestFit="1" customWidth="1"/>
    <col min="5" max="5" width="36.7109375" style="12" customWidth="1"/>
    <col min="6" max="6" width="3.28515625" style="12" bestFit="1" customWidth="1"/>
    <col min="7" max="7" width="12.42578125" style="12" bestFit="1" customWidth="1"/>
    <col min="8" max="8" width="11.7109375" style="12" customWidth="1"/>
    <col min="9" max="9" width="17.28515625" style="12" bestFit="1" customWidth="1"/>
    <col min="10" max="11" width="12.42578125" style="12" bestFit="1" customWidth="1"/>
    <col min="12" max="12" width="2.85546875" style="12" bestFit="1" customWidth="1"/>
    <col min="13" max="13" width="9.7109375" style="12" bestFit="1" customWidth="1"/>
    <col min="14" max="14" width="11.85546875" style="12" bestFit="1" customWidth="1"/>
    <col min="15" max="15" width="7.5703125" style="12" customWidth="1"/>
    <col min="16" max="17" width="10.7109375" style="12" customWidth="1"/>
    <col min="18" max="16384" width="9.140625" style="12"/>
  </cols>
  <sheetData>
    <row r="2" spans="2:17" ht="26.25" x14ac:dyDescent="0.4">
      <c r="B2" s="45" t="s">
        <v>1154</v>
      </c>
      <c r="C2" s="45" t="s">
        <v>1155</v>
      </c>
      <c r="D2" s="45" t="s">
        <v>1156</v>
      </c>
      <c r="E2" s="45" t="s">
        <v>1157</v>
      </c>
      <c r="F2" s="46"/>
      <c r="P2" s="12" t="s">
        <v>1158</v>
      </c>
      <c r="Q2" s="12" t="s">
        <v>1159</v>
      </c>
    </row>
    <row r="3" spans="2:17" ht="26.25" x14ac:dyDescent="0.4">
      <c r="B3" s="45">
        <f>C3+D3+E3</f>
        <v>139</v>
      </c>
      <c r="C3" s="45">
        <f>SUMIF('Daily CIO'!D:D, "English", 'Daily CIO'!H:H)</f>
        <v>67</v>
      </c>
      <c r="D3" s="45">
        <f>SUMIF('Daily CIO'!D:D, "Spanish", 'Daily CIO'!H:H)</f>
        <v>72</v>
      </c>
      <c r="E3" s="45">
        <f>SUM(SUMIF('Daily CIO'!D:D,"English/Viet", 'Daily CIO'!H:H), SUMIF('Daily CIO'!D:D, "English/Farsi",'Daily CIO'!H:H)*1)</f>
        <v>0</v>
      </c>
      <c r="F3" s="46"/>
      <c r="H3" s="54"/>
      <c r="P3" s="53" t="s">
        <v>1160</v>
      </c>
      <c r="Q3" s="12">
        <f>'pending data table'!U5</f>
        <v>21</v>
      </c>
    </row>
    <row r="4" spans="2:17" ht="26.25" x14ac:dyDescent="0.4">
      <c r="B4" s="45"/>
      <c r="C4" s="47">
        <f>C3/B3</f>
        <v>0.48201438848920863</v>
      </c>
      <c r="D4" s="47">
        <f>D3/B3</f>
        <v>0.51798561151079137</v>
      </c>
      <c r="E4" s="47">
        <f>E3/B3</f>
        <v>0</v>
      </c>
      <c r="F4" s="46"/>
      <c r="H4" s="57"/>
      <c r="P4" s="12" t="s">
        <v>1161</v>
      </c>
      <c r="Q4" s="12">
        <f>'pending data table'!U6</f>
        <v>23</v>
      </c>
    </row>
    <row r="5" spans="2:17" x14ac:dyDescent="0.25">
      <c r="B5" s="130"/>
      <c r="C5" s="46"/>
      <c r="D5" s="46"/>
      <c r="F5" s="46"/>
      <c r="H5" s="55"/>
      <c r="P5" s="12" t="s">
        <v>1162</v>
      </c>
      <c r="Q5" s="12">
        <f>'pending data table'!U7</f>
        <v>14</v>
      </c>
    </row>
    <row r="6" spans="2:17" x14ac:dyDescent="0.25">
      <c r="B6" s="130"/>
      <c r="C6" s="46"/>
      <c r="D6" s="46"/>
      <c r="E6" s="46"/>
      <c r="F6" s="46"/>
      <c r="H6" s="55"/>
      <c r="I6" s="53"/>
      <c r="P6" s="12" t="s">
        <v>1163</v>
      </c>
      <c r="Q6" s="12">
        <f>'pending data table'!U8</f>
        <v>14</v>
      </c>
    </row>
    <row r="7" spans="2:17" ht="21" x14ac:dyDescent="0.35">
      <c r="B7" s="49"/>
      <c r="D7" s="48"/>
      <c r="F7" s="46"/>
      <c r="I7" s="53"/>
      <c r="P7" s="12" t="s">
        <v>1164</v>
      </c>
      <c r="Q7" s="12">
        <f>'pending data table'!U9</f>
        <v>16</v>
      </c>
    </row>
    <row r="8" spans="2:17" ht="23.25" x14ac:dyDescent="0.35">
      <c r="B8" s="51" t="s">
        <v>1165</v>
      </c>
      <c r="C8" s="131">
        <f>B3-C9</f>
        <v>117</v>
      </c>
      <c r="D8" s="132">
        <f>C8/B3</f>
        <v>0.84172661870503596</v>
      </c>
      <c r="P8" s="12" t="s">
        <v>1166</v>
      </c>
      <c r="Q8" s="12">
        <f>'pending data table'!U10</f>
        <v>18</v>
      </c>
    </row>
    <row r="9" spans="2:17" ht="23.25" x14ac:dyDescent="0.35">
      <c r="B9" s="51" t="s">
        <v>1167</v>
      </c>
      <c r="C9" s="131" cm="1">
        <f t="array" ref="C9">SUMPRODUCT((ISNUMBER(FIND("*", 'Daily CIO'!I:M)))*1)</f>
        <v>22</v>
      </c>
      <c r="D9" s="132">
        <f>C9/B3</f>
        <v>0.15827338129496402</v>
      </c>
      <c r="P9" s="12" t="s">
        <v>1168</v>
      </c>
      <c r="Q9" s="12">
        <f>'pending data table'!U11</f>
        <v>15</v>
      </c>
    </row>
    <row r="10" spans="2:17" ht="21" x14ac:dyDescent="0.35">
      <c r="B10" s="49"/>
      <c r="C10" s="48"/>
      <c r="D10" s="48"/>
      <c r="P10" s="12" t="s">
        <v>1169</v>
      </c>
      <c r="Q10" s="12">
        <f>'pending data table'!U12</f>
        <v>14</v>
      </c>
    </row>
    <row r="11" spans="2:17" ht="21" x14ac:dyDescent="0.35">
      <c r="D11" s="50"/>
      <c r="P11" s="12" t="s">
        <v>1170</v>
      </c>
      <c r="Q11" s="12">
        <f>'pending data table'!U13</f>
        <v>15</v>
      </c>
    </row>
    <row r="12" spans="2:17" x14ac:dyDescent="0.25">
      <c r="B12"/>
      <c r="C12"/>
      <c r="P12" s="12" t="s">
        <v>1171</v>
      </c>
      <c r="Q12" s="12">
        <f>SUBTOTAL(109,Table6['# of CIO''s])</f>
        <v>150</v>
      </c>
    </row>
    <row r="13" spans="2:17" ht="21" x14ac:dyDescent="0.35">
      <c r="B13" s="52" t="s">
        <v>9</v>
      </c>
      <c r="C13" s="48">
        <f>SUMIF('Daily CIO'!C:C, "GRWP", 'Daily CIO'!H:H)</f>
        <v>2</v>
      </c>
      <c r="K13" s="175"/>
      <c r="L13" s="175"/>
      <c r="M13" s="175"/>
      <c r="N13" s="175"/>
    </row>
    <row r="14" spans="2:17" ht="21" x14ac:dyDescent="0.35">
      <c r="B14" s="52" t="s">
        <v>15</v>
      </c>
      <c r="C14" s="48">
        <f>SUMIF('Daily CIO'!C:C, "GR", 'Daily CIO'!H:H)</f>
        <v>10</v>
      </c>
      <c r="M14" s="79"/>
    </row>
    <row r="15" spans="2:17" ht="21" x14ac:dyDescent="0.35">
      <c r="B15" s="52" t="s">
        <v>103</v>
      </c>
      <c r="C15" s="48">
        <f>SUM(SUMIF('Daily CIO'!G:G, "*ABD*", 'Daily CIO'!H:H), SUMIF( 'Daily CIO'!F:F, "*ABD*", 'Daily CIO'!H:H))</f>
        <v>1</v>
      </c>
      <c r="E15" s="133" t="s">
        <v>1205</v>
      </c>
      <c r="I15" s="134"/>
    </row>
    <row r="16" spans="2:17" x14ac:dyDescent="0.25">
      <c r="B16" s="174"/>
      <c r="C16" s="174"/>
    </row>
    <row r="17" spans="2:3" x14ac:dyDescent="0.25">
      <c r="B17" s="174"/>
      <c r="C17" s="174"/>
    </row>
  </sheetData>
  <mergeCells count="3">
    <mergeCell ref="B16:C16"/>
    <mergeCell ref="B17:C17"/>
    <mergeCell ref="K13:N13"/>
  </mergeCells>
  <pageMargins left="0.7" right="0.7" top="0.75" bottom="0.75" header="0.3" footer="0.3"/>
  <pageSetup orientation="portrait" horizontalDpi="300" verticalDpi="300" r:id="rId1"/>
  <ignoredErrors>
    <ignoredError sqref="C3:D3 E4 D8" calculatedColumn="1"/>
  </ignoredErrors>
  <drawing r:id="rId2"/>
  <tableParts count="4">
    <tablePart r:id="rId3"/>
    <tablePart r:id="rId4"/>
    <tablePart r:id="rId5"/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A071B2-874F-4007-BA26-8B71E5D984A1}">
  <sheetPr codeName="Sheet11">
    <tabColor rgb="FFC6A5D9"/>
  </sheetPr>
  <dimension ref="A1:H24"/>
  <sheetViews>
    <sheetView showGridLines="0" workbookViewId="0">
      <selection activeCell="A12" sqref="A12"/>
    </sheetView>
  </sheetViews>
  <sheetFormatPr defaultColWidth="9.140625" defaultRowHeight="15" x14ac:dyDescent="0.25"/>
  <cols>
    <col min="1" max="1" width="132.85546875" customWidth="1"/>
    <col min="10" max="10" width="8.85546875" customWidth="1"/>
  </cols>
  <sheetData>
    <row r="1" spans="1:2" ht="31.5" x14ac:dyDescent="0.5">
      <c r="A1" s="40" t="s">
        <v>1137</v>
      </c>
      <c r="B1" s="24"/>
    </row>
    <row r="2" spans="1:2" ht="21" x14ac:dyDescent="0.35">
      <c r="A2" s="2"/>
      <c r="B2" s="2"/>
    </row>
    <row r="3" spans="1:2" ht="23.25" x14ac:dyDescent="0.35">
      <c r="A3" s="18" t="s">
        <v>1138</v>
      </c>
      <c r="B3" s="2"/>
    </row>
    <row r="4" spans="1:2" ht="23.25" x14ac:dyDescent="0.35">
      <c r="A4" s="3" t="s">
        <v>1139</v>
      </c>
      <c r="B4" s="2"/>
    </row>
    <row r="5" spans="1:2" ht="23.25" x14ac:dyDescent="0.35">
      <c r="A5" s="44" t="s">
        <v>1140</v>
      </c>
      <c r="B5" s="2"/>
    </row>
    <row r="6" spans="1:2" ht="23.25" x14ac:dyDescent="0.35">
      <c r="A6" s="19" t="s">
        <v>1141</v>
      </c>
      <c r="B6" s="2"/>
    </row>
    <row r="7" spans="1:2" ht="23.25" x14ac:dyDescent="0.35">
      <c r="A7" s="20" t="s">
        <v>1142</v>
      </c>
      <c r="B7" s="2"/>
    </row>
    <row r="8" spans="1:2" ht="23.25" x14ac:dyDescent="0.35">
      <c r="A8" s="6" t="s">
        <v>1143</v>
      </c>
      <c r="B8" s="2"/>
    </row>
    <row r="9" spans="1:2" ht="23.25" x14ac:dyDescent="0.35">
      <c r="A9" s="17" t="s">
        <v>1144</v>
      </c>
    </row>
    <row r="10" spans="1:2" ht="23.25" x14ac:dyDescent="0.35">
      <c r="A10" s="4" t="s">
        <v>1145</v>
      </c>
    </row>
    <row r="11" spans="1:2" ht="23.25" x14ac:dyDescent="0.35">
      <c r="A11" s="16" t="s">
        <v>1146</v>
      </c>
    </row>
    <row r="12" spans="1:2" ht="23.25" x14ac:dyDescent="0.35">
      <c r="A12" s="4" t="s">
        <v>1147</v>
      </c>
    </row>
    <row r="13" spans="1:2" ht="24" thickBot="1" x14ac:dyDescent="0.4">
      <c r="A13" s="4" t="s">
        <v>1148</v>
      </c>
    </row>
    <row r="14" spans="1:2" ht="24.75" thickTop="1" thickBot="1" x14ac:dyDescent="0.4">
      <c r="A14" s="5" t="s">
        <v>1204</v>
      </c>
    </row>
    <row r="15" spans="1:2" ht="15.75" thickTop="1" x14ac:dyDescent="0.25"/>
    <row r="16" spans="1:2" ht="21" x14ac:dyDescent="0.35">
      <c r="A16" s="27" t="s">
        <v>1149</v>
      </c>
    </row>
    <row r="17" spans="1:8" ht="15.75" customHeight="1" x14ac:dyDescent="0.25">
      <c r="A17" s="1" t="s">
        <v>1150</v>
      </c>
    </row>
    <row r="18" spans="1:8" ht="15.75" customHeight="1" x14ac:dyDescent="0.25">
      <c r="A18" s="128" t="s">
        <v>1151</v>
      </c>
    </row>
    <row r="19" spans="1:8" ht="15.75" x14ac:dyDescent="0.25">
      <c r="A19" s="129" t="s">
        <v>1152</v>
      </c>
      <c r="B19" s="12"/>
      <c r="C19" s="12"/>
      <c r="D19" s="12"/>
      <c r="E19" s="12"/>
      <c r="F19" s="12"/>
      <c r="G19" s="12"/>
      <c r="H19" s="12"/>
    </row>
    <row r="20" spans="1:8" ht="31.5" x14ac:dyDescent="0.25">
      <c r="A20" s="43" t="s">
        <v>1153</v>
      </c>
    </row>
    <row r="24" spans="1:8" x14ac:dyDescent="0.25">
      <c r="A24" s="21"/>
    </row>
  </sheetData>
  <pageMargins left="0.7" right="0.7" top="0.75" bottom="0.75" header="0.3" footer="0.3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0A5C3-536E-42E6-966C-B4EC2FA4C71C}">
  <sheetPr codeName="Sheet6"/>
  <dimension ref="A1"/>
  <sheetViews>
    <sheetView workbookViewId="0">
      <selection activeCell="F16" sqref="F16"/>
    </sheetView>
  </sheetViews>
  <sheetFormatPr defaultColWidth="9" defaultRowHeight="15" x14ac:dyDescent="0.25"/>
  <sheetData/>
  <pageMargins left="0.7" right="0.7" top="0.75" bottom="0.75" header="0.3" footer="0.3"/>
  <pageSetup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FFC1C7-9FF2-4224-9D28-481956E7204C}">
  <sheetPr codeName="Sheet5"/>
  <dimension ref="A1:V200"/>
  <sheetViews>
    <sheetView showGridLines="0" workbookViewId="0">
      <selection activeCell="M19" sqref="M19"/>
    </sheetView>
  </sheetViews>
  <sheetFormatPr defaultRowHeight="15" x14ac:dyDescent="0.25"/>
  <cols>
    <col min="1" max="1" width="12.42578125" bestFit="1" customWidth="1"/>
    <col min="2" max="2" width="13.5703125" customWidth="1"/>
    <col min="3" max="3" width="12.42578125" bestFit="1" customWidth="1"/>
    <col min="4" max="4" width="12" customWidth="1"/>
    <col min="5" max="5" width="11.28515625" customWidth="1"/>
    <col min="10" max="11" width="12.42578125" bestFit="1" customWidth="1"/>
    <col min="12" max="12" width="5.5703125" bestFit="1" customWidth="1"/>
    <col min="13" max="13" width="7.7109375" bestFit="1" customWidth="1"/>
    <col min="14" max="14" width="12.5703125" bestFit="1" customWidth="1"/>
    <col min="15" max="16" width="12.42578125" bestFit="1" customWidth="1"/>
    <col min="17" max="17" width="5.5703125" bestFit="1" customWidth="1"/>
  </cols>
  <sheetData>
    <row r="1" spans="1:22" x14ac:dyDescent="0.25">
      <c r="A1" s="58" t="e">
        <f>TIMEVALUE(SUBSTITUTE('Daily CIO'!I2, CHAR(42),""))</f>
        <v>#VALUE!</v>
      </c>
      <c r="B1" s="58" t="e">
        <f>TIMEVALUE(SUBSTITUTE('Daily CIO'!J2, CHAR(42),""))</f>
        <v>#VALUE!</v>
      </c>
      <c r="C1" s="58" t="e">
        <f>TIMEVALUE(SUBSTITUTE('Daily CIO'!K2, CHAR(42),""))</f>
        <v>#VALUE!</v>
      </c>
      <c r="D1" s="58" t="e">
        <f>TIMEVALUE(SUBSTITUTE('Daily CIO'!L2, CHAR(42),""))</f>
        <v>#VALUE!</v>
      </c>
      <c r="E1" s="58" t="e">
        <f>TIMEVALUE(SUBSTITUTE('Daily CIO'!M2, CHAR(42),""))</f>
        <v>#VALUE!</v>
      </c>
    </row>
    <row r="2" spans="1:22" x14ac:dyDescent="0.25">
      <c r="A2" s="58" t="e">
        <f>TIMEVALUE(SUBSTITUTE('Daily CIO'!I3, CHAR(42),""))</f>
        <v>#VALUE!</v>
      </c>
      <c r="B2" s="58" t="e">
        <f>TIMEVALUE(SUBSTITUTE('Daily CIO'!J3, CHAR(42),""))</f>
        <v>#VALUE!</v>
      </c>
      <c r="C2" s="58" t="e">
        <f>TIMEVALUE(SUBSTITUTE('Daily CIO'!K3, CHAR(42),""))</f>
        <v>#VALUE!</v>
      </c>
      <c r="D2" s="58" t="e">
        <f>TIMEVALUE(SUBSTITUTE('Daily CIO'!L3, CHAR(42),""))</f>
        <v>#VALUE!</v>
      </c>
      <c r="E2" s="58" t="e">
        <f>TIMEVALUE(SUBSTITUTE('Daily CIO'!M3, CHAR(42),""))</f>
        <v>#VALUE!</v>
      </c>
    </row>
    <row r="3" spans="1:22" x14ac:dyDescent="0.25">
      <c r="A3" s="58" t="e">
        <f>TIMEVALUE(SUBSTITUTE('Daily CIO'!I4, CHAR(42),""))</f>
        <v>#VALUE!</v>
      </c>
      <c r="B3" s="58" t="e">
        <f>TIMEVALUE(SUBSTITUTE('Daily CIO'!J4, CHAR(42),""))</f>
        <v>#VALUE!</v>
      </c>
      <c r="C3" s="58" t="e">
        <f>TIMEVALUE(SUBSTITUTE('Daily CIO'!K4, CHAR(42),""))</f>
        <v>#VALUE!</v>
      </c>
      <c r="D3" s="58" t="e">
        <f>TIMEVALUE(SUBSTITUTE('Daily CIO'!L4, CHAR(42),""))</f>
        <v>#VALUE!</v>
      </c>
      <c r="E3" s="58" t="e">
        <f>TIMEVALUE(SUBSTITUTE('Daily CIO'!M4, CHAR(42),""))</f>
        <v>#VALUE!</v>
      </c>
    </row>
    <row r="4" spans="1:22" x14ac:dyDescent="0.25">
      <c r="A4" s="58" t="e">
        <f>TIMEVALUE(SUBSTITUTE('Daily CIO'!I5, CHAR(42),""))</f>
        <v>#VALUE!</v>
      </c>
      <c r="B4" s="58" t="e">
        <f>TIMEVALUE(SUBSTITUTE('Daily CIO'!J5, CHAR(42),""))</f>
        <v>#VALUE!</v>
      </c>
      <c r="C4" s="58" t="e">
        <f>TIMEVALUE(SUBSTITUTE('Daily CIO'!K5, CHAR(42),""))</f>
        <v>#VALUE!</v>
      </c>
      <c r="D4" s="58" t="e">
        <f>TIMEVALUE(SUBSTITUTE('Daily CIO'!L5, CHAR(42),""))</f>
        <v>#VALUE!</v>
      </c>
      <c r="E4" s="58" t="e">
        <f>TIMEVALUE(SUBSTITUTE('Daily CIO'!M5, CHAR(42),""))</f>
        <v>#VALUE!</v>
      </c>
      <c r="J4" s="61"/>
      <c r="K4" s="62"/>
      <c r="L4" s="62"/>
      <c r="M4" s="75" t="s">
        <v>1172</v>
      </c>
      <c r="N4" s="72" t="s">
        <v>1173</v>
      </c>
      <c r="O4" s="62"/>
      <c r="P4" s="62"/>
      <c r="Q4" s="63"/>
      <c r="S4" s="12" t="s">
        <v>1158</v>
      </c>
      <c r="T4" s="12" t="s">
        <v>1174</v>
      </c>
      <c r="U4" s="12" t="s">
        <v>1159</v>
      </c>
      <c r="V4" s="12" t="s">
        <v>1175</v>
      </c>
    </row>
    <row r="5" spans="1:22" x14ac:dyDescent="0.25">
      <c r="A5" s="58" t="e">
        <f>TIMEVALUE(SUBSTITUTE('Daily CIO'!I6, CHAR(42),""))</f>
        <v>#VALUE!</v>
      </c>
      <c r="B5" s="58" t="e">
        <f>TIMEVALUE(SUBSTITUTE('Daily CIO'!J6, CHAR(42),""))</f>
        <v>#VALUE!</v>
      </c>
      <c r="C5" s="58" t="e">
        <f>TIMEVALUE(SUBSTITUTE('Daily CIO'!K6, CHAR(42),""))</f>
        <v>#VALUE!</v>
      </c>
      <c r="D5" s="58" t="e">
        <f>TIMEVALUE(SUBSTITUTE('Daily CIO'!L6, CHAR(42),""))</f>
        <v>#VALUE!</v>
      </c>
      <c r="E5" s="58" t="e">
        <f>TIMEVALUE(SUBSTITUTE('Daily CIO'!M6, CHAR(42),""))</f>
        <v>#VALUE!</v>
      </c>
      <c r="J5" s="64" t="s">
        <v>1176</v>
      </c>
      <c r="K5" s="12" t="s">
        <v>1177</v>
      </c>
      <c r="L5" s="12" t="s">
        <v>1178</v>
      </c>
      <c r="M5" s="12"/>
      <c r="N5" s="64"/>
      <c r="O5" s="12" t="s">
        <v>1176</v>
      </c>
      <c r="P5" s="12" t="s">
        <v>1177</v>
      </c>
      <c r="Q5" s="65" t="s">
        <v>1178</v>
      </c>
      <c r="S5" s="70">
        <v>0.33333333333333298</v>
      </c>
      <c r="T5" s="70">
        <v>0.375</v>
      </c>
      <c r="U5" s="12">
        <f>'pending data table'!L6+'pending data table'!Q6</f>
        <v>21</v>
      </c>
      <c r="V5" s="59">
        <f t="shared" ref="V5:V13" si="0">U5*0.01</f>
        <v>0.21</v>
      </c>
    </row>
    <row r="6" spans="1:22" x14ac:dyDescent="0.25">
      <c r="A6" s="58" t="e">
        <f>TIMEVALUE(SUBSTITUTE('Daily CIO'!I7, CHAR(42),""))</f>
        <v>#VALUE!</v>
      </c>
      <c r="B6" s="58" t="e">
        <f>TIMEVALUE(SUBSTITUTE('Daily CIO'!J7, CHAR(42),""))</f>
        <v>#VALUE!</v>
      </c>
      <c r="C6" s="58" t="e">
        <f>TIMEVALUE(SUBSTITUTE('Daily CIO'!K7, CHAR(42),""))</f>
        <v>#VALUE!</v>
      </c>
      <c r="D6" s="58" t="e">
        <f>TIMEVALUE(SUBSTITUTE('Daily CIO'!L7, CHAR(42),""))</f>
        <v>#VALUE!</v>
      </c>
      <c r="E6" s="58" t="e">
        <f>TIMEVALUE(SUBSTITUTE('Daily CIO'!M7, CHAR(42),""))</f>
        <v>#VALUE!</v>
      </c>
      <c r="J6" s="66">
        <v>0.33333333333333298</v>
      </c>
      <c r="K6" s="53">
        <v>0.375</v>
      </c>
      <c r="L6" s="12">
        <f>COUNTIFS('Daily CIO'!I1:M197,"&gt;="&amp;J6, 'Daily CIO'!I1:M197, "&lt;"&amp;K6)</f>
        <v>19</v>
      </c>
      <c r="M6" s="12"/>
      <c r="N6" s="64"/>
      <c r="O6" s="53">
        <v>0.33333333333333298</v>
      </c>
      <c r="P6" s="53">
        <v>0.375</v>
      </c>
      <c r="Q6" s="65">
        <f>COUNTIFS('pending data table'!$A$1:$E$200,"&gt;="&amp;J6, 'pending data table'!$A$1:$E$200, "&lt;"&amp;K6)</f>
        <v>2</v>
      </c>
      <c r="S6" s="60">
        <v>0.375</v>
      </c>
      <c r="T6" s="60">
        <v>0.41666666666666669</v>
      </c>
      <c r="U6" s="12">
        <f>'pending data table'!L7+'pending data table'!Q7</f>
        <v>23</v>
      </c>
      <c r="V6" s="59">
        <f t="shared" si="0"/>
        <v>0.23</v>
      </c>
    </row>
    <row r="7" spans="1:22" x14ac:dyDescent="0.25">
      <c r="A7" s="58" t="e">
        <f>TIMEVALUE(SUBSTITUTE('Daily CIO'!I8, CHAR(42),""))</f>
        <v>#VALUE!</v>
      </c>
      <c r="B7" s="58" t="e">
        <f>TIMEVALUE(SUBSTITUTE('Daily CIO'!J8, CHAR(42),""))</f>
        <v>#VALUE!</v>
      </c>
      <c r="C7" s="58" t="e">
        <f>TIMEVALUE(SUBSTITUTE('Daily CIO'!K8, CHAR(42),""))</f>
        <v>#VALUE!</v>
      </c>
      <c r="D7" s="58" t="e">
        <f>TIMEVALUE(SUBSTITUTE('Daily CIO'!L8, CHAR(42),""))</f>
        <v>#VALUE!</v>
      </c>
      <c r="E7" s="58" t="e">
        <f>TIMEVALUE(SUBSTITUTE('Daily CIO'!M8, CHAR(42),""))</f>
        <v>#VALUE!</v>
      </c>
      <c r="J7" s="66">
        <v>0.375</v>
      </c>
      <c r="K7" s="53">
        <v>0.41666666666666669</v>
      </c>
      <c r="L7" s="12">
        <f>COUNTIFS('Daily CIO'!I1:M197,"&gt;="&amp;J7, 'Daily CIO'!I1:M197, "&lt;"&amp;K7)</f>
        <v>21</v>
      </c>
      <c r="M7" s="12"/>
      <c r="N7" s="64"/>
      <c r="O7" s="53">
        <v>0.375</v>
      </c>
      <c r="P7" s="53">
        <v>0.41666666666666669</v>
      </c>
      <c r="Q7" s="65">
        <f>COUNTIFS('pending data table'!$A$1:$E$200,"&gt;="&amp;J7, 'pending data table'!$A$1:$E$200, "&lt;"&amp;K7)</f>
        <v>2</v>
      </c>
      <c r="S7" s="70">
        <v>0.41666666666666669</v>
      </c>
      <c r="T7" s="70">
        <v>0.45833333333333331</v>
      </c>
      <c r="U7" s="12">
        <f>'pending data table'!L8+'pending data table'!Q8</f>
        <v>14</v>
      </c>
      <c r="V7" s="59">
        <f t="shared" si="0"/>
        <v>0.14000000000000001</v>
      </c>
    </row>
    <row r="8" spans="1:22" x14ac:dyDescent="0.25">
      <c r="A8" s="58" t="e">
        <f>TIMEVALUE(SUBSTITUTE('Daily CIO'!I9, CHAR(42),""))</f>
        <v>#VALUE!</v>
      </c>
      <c r="B8" s="58" t="e">
        <f>TIMEVALUE(SUBSTITUTE('Daily CIO'!J9, CHAR(42),""))</f>
        <v>#VALUE!</v>
      </c>
      <c r="C8" s="58" t="e">
        <f>TIMEVALUE(SUBSTITUTE('Daily CIO'!K9, CHAR(42),""))</f>
        <v>#VALUE!</v>
      </c>
      <c r="D8" s="58" t="e">
        <f>TIMEVALUE(SUBSTITUTE('Daily CIO'!L9, CHAR(42),""))</f>
        <v>#VALUE!</v>
      </c>
      <c r="E8" s="58" t="e">
        <f>TIMEVALUE(SUBSTITUTE('Daily CIO'!M9, CHAR(42),""))</f>
        <v>#VALUE!</v>
      </c>
      <c r="J8" s="66">
        <v>0.41666666666666669</v>
      </c>
      <c r="K8" s="53">
        <v>0.45833333333333331</v>
      </c>
      <c r="L8" s="12">
        <f>COUNTIFS('Daily CIO'!I1:M197,"&gt;="&amp;J8, 'Daily CIO'!I1:M197, "&lt;"&amp;K8)</f>
        <v>11</v>
      </c>
      <c r="M8" s="12"/>
      <c r="N8" s="64"/>
      <c r="O8" s="53">
        <v>0.41666666666666669</v>
      </c>
      <c r="P8" s="53">
        <v>0.45833333333333331</v>
      </c>
      <c r="Q8" s="65">
        <f>COUNTIFS('pending data table'!A1:E200,"&gt;="&amp;J8, 'pending data table'!A1:E200, "&lt;"&amp;K8)</f>
        <v>3</v>
      </c>
      <c r="S8" s="60">
        <v>0.45833333333333331</v>
      </c>
      <c r="T8" s="60">
        <v>0.5</v>
      </c>
      <c r="U8" s="12">
        <f>'pending data table'!L9+'pending data table'!Q9</f>
        <v>14</v>
      </c>
      <c r="V8" s="59">
        <f t="shared" si="0"/>
        <v>0.14000000000000001</v>
      </c>
    </row>
    <row r="9" spans="1:22" x14ac:dyDescent="0.25">
      <c r="A9" s="58" t="e">
        <f>TIMEVALUE(SUBSTITUTE('Daily CIO'!I10, CHAR(42),""))</f>
        <v>#VALUE!</v>
      </c>
      <c r="B9" s="58" t="e">
        <f>TIMEVALUE(SUBSTITUTE('Daily CIO'!J10, CHAR(42),""))</f>
        <v>#VALUE!</v>
      </c>
      <c r="C9" s="58" t="e">
        <f>TIMEVALUE(SUBSTITUTE('Daily CIO'!K10, CHAR(42),""))</f>
        <v>#VALUE!</v>
      </c>
      <c r="D9" s="58" t="e">
        <f>TIMEVALUE(SUBSTITUTE('Daily CIO'!L10, CHAR(42),""))</f>
        <v>#VALUE!</v>
      </c>
      <c r="E9" s="58" t="e">
        <f>TIMEVALUE(SUBSTITUTE('Daily CIO'!M10, CHAR(42),""))</f>
        <v>#VALUE!</v>
      </c>
      <c r="J9" s="66">
        <v>0.45833333333333331</v>
      </c>
      <c r="K9" s="53">
        <v>0.5</v>
      </c>
      <c r="L9" s="12">
        <f>COUNTIFS('Daily CIO'!I1:M197,"&gt;="&amp;J9, 'Daily CIO'!I1:M197, "&lt;"&amp;K9)</f>
        <v>12</v>
      </c>
      <c r="M9" s="12"/>
      <c r="N9" s="64"/>
      <c r="O9" s="53">
        <v>0.45833333333333331</v>
      </c>
      <c r="P9" s="53">
        <v>0.5</v>
      </c>
      <c r="Q9" s="65">
        <f>COUNTIFS('pending data table'!A2:E201,"&gt;="&amp;J9, 'pending data table'!A2:E201, "&lt;"&amp;K9)</f>
        <v>2</v>
      </c>
      <c r="S9" s="70">
        <v>0.5</v>
      </c>
      <c r="T9" s="70">
        <v>0.54166666666666696</v>
      </c>
      <c r="U9" s="12">
        <f>'pending data table'!L10+'pending data table'!Q10</f>
        <v>16</v>
      </c>
      <c r="V9" s="59">
        <f t="shared" si="0"/>
        <v>0.16</v>
      </c>
    </row>
    <row r="10" spans="1:22" x14ac:dyDescent="0.25">
      <c r="A10" s="58" t="e">
        <f>TIMEVALUE(SUBSTITUTE('Daily CIO'!I11, CHAR(42),""))</f>
        <v>#VALUE!</v>
      </c>
      <c r="B10" s="58" t="e">
        <f>TIMEVALUE(SUBSTITUTE('Daily CIO'!J11, CHAR(42),""))</f>
        <v>#VALUE!</v>
      </c>
      <c r="C10" s="58" t="e">
        <f>TIMEVALUE(SUBSTITUTE('Daily CIO'!K11, CHAR(42),""))</f>
        <v>#VALUE!</v>
      </c>
      <c r="D10" s="58" t="e">
        <f>TIMEVALUE(SUBSTITUTE('Daily CIO'!L11, CHAR(42),""))</f>
        <v>#VALUE!</v>
      </c>
      <c r="E10" s="58" t="e">
        <f>TIMEVALUE(SUBSTITUTE('Daily CIO'!M11, CHAR(42),""))</f>
        <v>#VALUE!</v>
      </c>
      <c r="J10" s="66">
        <v>0.5</v>
      </c>
      <c r="K10" s="53">
        <v>0.54166666666666696</v>
      </c>
      <c r="L10" s="12">
        <f>COUNTIFS('Daily CIO'!I1:M197,"&gt;="&amp;J10, 'Daily CIO'!I1:M197, "&lt;"&amp;K10)</f>
        <v>15</v>
      </c>
      <c r="M10" s="12"/>
      <c r="N10" s="64"/>
      <c r="O10" s="53">
        <v>0.5</v>
      </c>
      <c r="P10" s="53">
        <v>0.54166666666666696</v>
      </c>
      <c r="Q10" s="65">
        <f>COUNTIFS('pending data table'!A1:E202,"&gt;="&amp;J10, 'pending data table'!A1:E202, "&lt;"&amp;K10)</f>
        <v>1</v>
      </c>
      <c r="S10" s="60">
        <v>4.1666666666666664E-2</v>
      </c>
      <c r="T10" s="60">
        <v>0.58333333333333404</v>
      </c>
      <c r="U10" s="12">
        <f>'pending data table'!L11+'pending data table'!Q11</f>
        <v>18</v>
      </c>
      <c r="V10" s="59">
        <f t="shared" si="0"/>
        <v>0.18</v>
      </c>
    </row>
    <row r="11" spans="1:22" x14ac:dyDescent="0.25">
      <c r="A11" s="58" t="e">
        <f>TIMEVALUE(SUBSTITUTE('Daily CIO'!I12, CHAR(42),""))</f>
        <v>#VALUE!</v>
      </c>
      <c r="B11" s="58" t="e">
        <f>TIMEVALUE(SUBSTITUTE('Daily CIO'!J12, CHAR(42),""))</f>
        <v>#VALUE!</v>
      </c>
      <c r="C11" s="58" t="e">
        <f>TIMEVALUE(SUBSTITUTE('Daily CIO'!K12, CHAR(42),""))</f>
        <v>#VALUE!</v>
      </c>
      <c r="D11" s="58" t="e">
        <f>TIMEVALUE(SUBSTITUTE('Daily CIO'!L12, CHAR(42),""))</f>
        <v>#VALUE!</v>
      </c>
      <c r="E11" s="58" t="e">
        <f>TIMEVALUE(SUBSTITUTE('Daily CIO'!M12, CHAR(42),""))</f>
        <v>#VALUE!</v>
      </c>
      <c r="J11" s="66">
        <v>4.1666666666666664E-2</v>
      </c>
      <c r="K11" s="53">
        <v>8.3333333333333329E-2</v>
      </c>
      <c r="L11" s="12">
        <f>COUNTIFS('Daily CIO'!I1:M198,"&gt;="&amp;J11, 'Daily CIO'!I1:M198, "&lt;"&amp;K11)</f>
        <v>14</v>
      </c>
      <c r="M11" s="12"/>
      <c r="N11" s="64"/>
      <c r="O11" s="53">
        <v>4.1666666666666664E-2</v>
      </c>
      <c r="P11" s="53">
        <v>8.3333333333333329E-2</v>
      </c>
      <c r="Q11" s="65">
        <f>COUNTIFS('pending data table'!A1:E203,"&gt;="&amp;J11, 'pending data table'!A1:E203, "&lt;"&amp;K11)</f>
        <v>4</v>
      </c>
      <c r="S11" s="70">
        <v>8.3333333333333329E-2</v>
      </c>
      <c r="T11" s="70">
        <v>0.625000000000001</v>
      </c>
      <c r="U11" s="12">
        <f>'pending data table'!L12+'pending data table'!Q12</f>
        <v>15</v>
      </c>
      <c r="V11" s="59">
        <f t="shared" si="0"/>
        <v>0.15</v>
      </c>
    </row>
    <row r="12" spans="1:22" x14ac:dyDescent="0.25">
      <c r="A12" s="58" t="e">
        <f>TIMEVALUE(SUBSTITUTE('Daily CIO'!I13, CHAR(42),""))</f>
        <v>#VALUE!</v>
      </c>
      <c r="B12" s="58" t="e">
        <f>TIMEVALUE(SUBSTITUTE('Daily CIO'!J13, CHAR(42),""))</f>
        <v>#VALUE!</v>
      </c>
      <c r="C12" s="58" t="e">
        <f>TIMEVALUE(SUBSTITUTE('Daily CIO'!K13, CHAR(42),""))</f>
        <v>#VALUE!</v>
      </c>
      <c r="D12" s="58" t="e">
        <f>TIMEVALUE(SUBSTITUTE('Daily CIO'!L13, CHAR(42),""))</f>
        <v>#VALUE!</v>
      </c>
      <c r="E12" s="58" t="e">
        <f>TIMEVALUE(SUBSTITUTE('Daily CIO'!M13, CHAR(42),""))</f>
        <v>#VALUE!</v>
      </c>
      <c r="J12" s="66">
        <v>8.3333333333333301E-2</v>
      </c>
      <c r="K12" s="53">
        <v>0.125</v>
      </c>
      <c r="L12" s="12">
        <f>COUNTIFS('Daily CIO'!I1:M199,"&gt;="&amp;J12, 'Daily CIO'!I1:M199, "&lt;"&amp;K12)</f>
        <v>12</v>
      </c>
      <c r="M12" s="12"/>
      <c r="N12" s="64"/>
      <c r="O12" s="53">
        <v>8.3333333333333301E-2</v>
      </c>
      <c r="P12" s="53">
        <v>0.125</v>
      </c>
      <c r="Q12" s="65">
        <f>COUNTIFS('pending data table'!A1:E204,"&gt;="&amp;J12, 'pending data table'!A1:E204, "&lt;"&amp;K12)</f>
        <v>3</v>
      </c>
      <c r="S12" s="60">
        <v>0.125</v>
      </c>
      <c r="T12" s="60">
        <v>0.66666666666666796</v>
      </c>
      <c r="U12" s="12">
        <f>'pending data table'!L13+'pending data table'!Q13</f>
        <v>14</v>
      </c>
      <c r="V12" s="59">
        <f t="shared" si="0"/>
        <v>0.14000000000000001</v>
      </c>
    </row>
    <row r="13" spans="1:22" x14ac:dyDescent="0.25">
      <c r="A13" s="58" t="e">
        <f>TIMEVALUE(SUBSTITUTE('Daily CIO'!I14, CHAR(42),""))</f>
        <v>#VALUE!</v>
      </c>
      <c r="B13" s="58" t="e">
        <f>TIMEVALUE(SUBSTITUTE('Daily CIO'!J14, CHAR(42),""))</f>
        <v>#VALUE!</v>
      </c>
      <c r="C13" s="58" t="e">
        <f>TIMEVALUE(SUBSTITUTE('Daily CIO'!K14, CHAR(42),""))</f>
        <v>#VALUE!</v>
      </c>
      <c r="D13" s="58" t="e">
        <f>TIMEVALUE(SUBSTITUTE('Daily CIO'!L14, CHAR(42),""))</f>
        <v>#VALUE!</v>
      </c>
      <c r="E13" s="58" t="e">
        <f>TIMEVALUE(SUBSTITUTE('Daily CIO'!M14, CHAR(42),""))</f>
        <v>#VALUE!</v>
      </c>
      <c r="J13" s="66">
        <v>0.125</v>
      </c>
      <c r="K13" s="53">
        <v>0.16666666666666699</v>
      </c>
      <c r="L13" s="12">
        <f>COUNTIFS('Daily CIO'!I1:M200,"&gt;="&amp;J13, 'Daily CIO'!I1:M200, "&lt;"&amp;K13)</f>
        <v>11</v>
      </c>
      <c r="M13" s="12"/>
      <c r="N13" s="64"/>
      <c r="O13" s="53">
        <v>0.125</v>
      </c>
      <c r="P13" s="53">
        <v>0.16666666666666699</v>
      </c>
      <c r="Q13" s="65">
        <f>COUNTIFS('pending data table'!A1:E205,"&gt;="&amp;J13, 'pending data table'!A1:E205, "&lt;"&amp;K13)</f>
        <v>3</v>
      </c>
      <c r="S13" s="70">
        <v>0.16666666666666666</v>
      </c>
      <c r="T13" s="70">
        <v>0.70833333333333504</v>
      </c>
      <c r="U13" s="12">
        <f>'pending data table'!L14+'pending data table'!Q14</f>
        <v>15</v>
      </c>
      <c r="V13" s="59">
        <f t="shared" si="0"/>
        <v>0.15</v>
      </c>
    </row>
    <row r="14" spans="1:22" x14ac:dyDescent="0.25">
      <c r="A14" s="58" t="e">
        <f>TIMEVALUE(SUBSTITUTE('Daily CIO'!I15, CHAR(42),""))</f>
        <v>#VALUE!</v>
      </c>
      <c r="B14" s="58" t="e">
        <f>TIMEVALUE(SUBSTITUTE('Daily CIO'!J15, CHAR(42),""))</f>
        <v>#VALUE!</v>
      </c>
      <c r="C14" s="58" t="e">
        <f>TIMEVALUE(SUBSTITUTE('Daily CIO'!K15, CHAR(42),""))</f>
        <v>#VALUE!</v>
      </c>
      <c r="D14" s="58" t="e">
        <f>TIMEVALUE(SUBSTITUTE('Daily CIO'!L15, CHAR(42),""))</f>
        <v>#VALUE!</v>
      </c>
      <c r="E14" s="58" t="e">
        <f>TIMEVALUE(SUBSTITUTE('Daily CIO'!M15, CHAR(42),""))</f>
        <v>#VALUE!</v>
      </c>
      <c r="J14" s="67">
        <v>0.16666666666666699</v>
      </c>
      <c r="K14" s="68">
        <v>0.20833333333333301</v>
      </c>
      <c r="L14" s="69">
        <f>COUNTIFS('Daily CIO'!I1:M201,"&gt;="&amp;J14, 'Daily CIO'!I1:M201, "&lt;"&amp;K14)</f>
        <v>13</v>
      </c>
      <c r="M14" s="69"/>
      <c r="N14" s="73"/>
      <c r="O14" s="68">
        <v>0.16666666666666699</v>
      </c>
      <c r="P14" s="68">
        <v>0.20833333333333301</v>
      </c>
      <c r="Q14" s="74">
        <f>COUNTIFS('pending data table'!A1:E206,"&gt;="&amp;J14, 'pending data table'!A1:E206, "&lt;"&amp;K14)</f>
        <v>2</v>
      </c>
    </row>
    <row r="15" spans="1:22" x14ac:dyDescent="0.25">
      <c r="A15" s="58" t="e">
        <f>TIMEVALUE(SUBSTITUTE('Daily CIO'!I16, CHAR(42),""))</f>
        <v>#VALUE!</v>
      </c>
      <c r="B15" s="58" t="e">
        <f>TIMEVALUE(SUBSTITUTE('Daily CIO'!J16, CHAR(42),""))</f>
        <v>#VALUE!</v>
      </c>
      <c r="C15" s="58" t="e">
        <f>TIMEVALUE(SUBSTITUTE('Daily CIO'!K16, CHAR(42),""))</f>
        <v>#VALUE!</v>
      </c>
      <c r="D15" s="58" t="e">
        <f>TIMEVALUE(SUBSTITUTE('Daily CIO'!L16, CHAR(42),""))</f>
        <v>#VALUE!</v>
      </c>
      <c r="E15" s="58" t="e">
        <f>TIMEVALUE(SUBSTITUTE('Daily CIO'!M16, CHAR(42),""))</f>
        <v>#VALUE!</v>
      </c>
      <c r="L15">
        <f>SUM(L6:L14)</f>
        <v>128</v>
      </c>
      <c r="Q15" s="71">
        <f>SUM(Q6:Q14)</f>
        <v>22</v>
      </c>
    </row>
    <row r="16" spans="1:22" x14ac:dyDescent="0.25">
      <c r="A16" s="58" t="e">
        <f>TIMEVALUE(SUBSTITUTE('Daily CIO'!I17, CHAR(42),""))</f>
        <v>#VALUE!</v>
      </c>
      <c r="B16" s="58" t="e">
        <f>TIMEVALUE(SUBSTITUTE('Daily CIO'!J17, CHAR(42),""))</f>
        <v>#VALUE!</v>
      </c>
      <c r="C16" s="58" t="e">
        <f>TIMEVALUE(SUBSTITUTE('Daily CIO'!K17, CHAR(42),""))</f>
        <v>#VALUE!</v>
      </c>
      <c r="D16" s="58" t="e">
        <f>TIMEVALUE(SUBSTITUTE('Daily CIO'!L17, CHAR(42),""))</f>
        <v>#VALUE!</v>
      </c>
      <c r="E16" s="58" t="e">
        <f>TIMEVALUE(SUBSTITUTE('Daily CIO'!M17, CHAR(42),""))</f>
        <v>#VALUE!</v>
      </c>
    </row>
    <row r="17" spans="1:15" x14ac:dyDescent="0.25">
      <c r="A17" s="58" t="e">
        <f>TIMEVALUE(SUBSTITUTE('Daily CIO'!I18, CHAR(42),""))</f>
        <v>#VALUE!</v>
      </c>
      <c r="B17" s="58" t="e">
        <f>TIMEVALUE(SUBSTITUTE('Daily CIO'!J18, CHAR(42),""))</f>
        <v>#VALUE!</v>
      </c>
      <c r="C17" s="58" t="e">
        <f>TIMEVALUE(SUBSTITUTE('Daily CIO'!K18, CHAR(42),""))</f>
        <v>#VALUE!</v>
      </c>
      <c r="D17" s="58" t="e">
        <f>TIMEVALUE(SUBSTITUTE('Daily CIO'!L18, CHAR(42),""))</f>
        <v>#VALUE!</v>
      </c>
      <c r="E17" s="58" t="e">
        <f>TIMEVALUE(SUBSTITUTE('Daily CIO'!M18, CHAR(42),""))</f>
        <v>#VALUE!</v>
      </c>
    </row>
    <row r="18" spans="1:15" x14ac:dyDescent="0.25">
      <c r="A18" s="58" t="e">
        <f>TIMEVALUE(SUBSTITUTE('Daily CIO'!I19, CHAR(42),""))</f>
        <v>#VALUE!</v>
      </c>
      <c r="B18" s="58" t="e">
        <f>TIMEVALUE(SUBSTITUTE('Daily CIO'!J19, CHAR(42),""))</f>
        <v>#VALUE!</v>
      </c>
      <c r="C18" s="58" t="e">
        <f>TIMEVALUE(SUBSTITUTE('Daily CIO'!K19, CHAR(42),""))</f>
        <v>#VALUE!</v>
      </c>
      <c r="D18" s="58" t="e">
        <f>TIMEVALUE(SUBSTITUTE('Daily CIO'!L19, CHAR(42),""))</f>
        <v>#VALUE!</v>
      </c>
      <c r="E18" s="58" t="e">
        <f>TIMEVALUE(SUBSTITUTE('Daily CIO'!M19, CHAR(42),""))</f>
        <v>#VALUE!</v>
      </c>
    </row>
    <row r="19" spans="1:15" x14ac:dyDescent="0.25">
      <c r="A19" s="58" t="e">
        <f>TIMEVALUE(SUBSTITUTE('Daily CIO'!I20, CHAR(42),""))</f>
        <v>#VALUE!</v>
      </c>
      <c r="B19" s="58" t="e">
        <f>TIMEVALUE(SUBSTITUTE('Daily CIO'!J20, CHAR(42),""))</f>
        <v>#VALUE!</v>
      </c>
      <c r="C19" s="58" t="e">
        <f>TIMEVALUE(SUBSTITUTE('Daily CIO'!K20, CHAR(42),""))</f>
        <v>#VALUE!</v>
      </c>
      <c r="D19" s="58" t="e">
        <f>TIMEVALUE(SUBSTITUTE('Daily CIO'!L20, CHAR(42),""))</f>
        <v>#VALUE!</v>
      </c>
      <c r="E19" s="58" t="e">
        <f>TIMEVALUE(SUBSTITUTE('Daily CIO'!M20, CHAR(42),""))</f>
        <v>#VALUE!</v>
      </c>
    </row>
    <row r="20" spans="1:15" x14ac:dyDescent="0.25">
      <c r="A20" s="58" t="e">
        <f>TIMEVALUE(SUBSTITUTE('Daily CIO'!I21, CHAR(42),""))</f>
        <v>#VALUE!</v>
      </c>
      <c r="B20" s="58" t="e">
        <f>TIMEVALUE(SUBSTITUTE('Daily CIO'!J21, CHAR(42),""))</f>
        <v>#VALUE!</v>
      </c>
      <c r="C20" s="58" t="e">
        <f>TIMEVALUE(SUBSTITUTE('Daily CIO'!K21, CHAR(42),""))</f>
        <v>#VALUE!</v>
      </c>
      <c r="D20" s="58" t="e">
        <f>TIMEVALUE(SUBSTITUTE('Daily CIO'!L21, CHAR(42),""))</f>
        <v>#VALUE!</v>
      </c>
      <c r="E20" s="58" t="e">
        <f>TIMEVALUE(SUBSTITUTE('Daily CIO'!M21, CHAR(42),""))</f>
        <v>#VALUE!</v>
      </c>
    </row>
    <row r="21" spans="1:15" x14ac:dyDescent="0.25">
      <c r="A21" s="58" t="e">
        <f>TIMEVALUE(SUBSTITUTE('Daily CIO'!I22, CHAR(42),""))</f>
        <v>#VALUE!</v>
      </c>
      <c r="B21" s="58">
        <f>TIMEVALUE(SUBSTITUTE('Daily CIO'!J22, CHAR(42),""))</f>
        <v>0.12986111111111112</v>
      </c>
      <c r="C21" s="58" t="e">
        <f>TIMEVALUE(SUBSTITUTE('Daily CIO'!K22, CHAR(42),""))</f>
        <v>#VALUE!</v>
      </c>
      <c r="D21" s="58" t="e">
        <f>TIMEVALUE(SUBSTITUTE('Daily CIO'!L22, CHAR(42),""))</f>
        <v>#VALUE!</v>
      </c>
      <c r="E21" s="58" t="e">
        <f>TIMEVALUE(SUBSTITUTE('Daily CIO'!M22, CHAR(42),""))</f>
        <v>#VALUE!</v>
      </c>
    </row>
    <row r="22" spans="1:15" x14ac:dyDescent="0.25">
      <c r="A22" s="58" t="e">
        <f>TIMEVALUE(SUBSTITUTE('Daily CIO'!I23, CHAR(42),""))</f>
        <v>#VALUE!</v>
      </c>
      <c r="B22" s="58" t="e">
        <f>TIMEVALUE(SUBSTITUTE('Daily CIO'!J23, CHAR(42),""))</f>
        <v>#VALUE!</v>
      </c>
      <c r="C22" s="58" t="e">
        <f>TIMEVALUE(SUBSTITUTE('Daily CIO'!K23, CHAR(42),""))</f>
        <v>#VALUE!</v>
      </c>
      <c r="D22" s="58" t="e">
        <f>TIMEVALUE(SUBSTITUTE('Daily CIO'!L23, CHAR(42),""))</f>
        <v>#VALUE!</v>
      </c>
      <c r="E22" s="58" t="e">
        <f>TIMEVALUE(SUBSTITUTE('Daily CIO'!M23, CHAR(42),""))</f>
        <v>#VALUE!</v>
      </c>
      <c r="O22" s="12">
        <f ca="1">SUMIF(O23, "17", Analytics!B3)</f>
        <v>0</v>
      </c>
    </row>
    <row r="23" spans="1:15" x14ac:dyDescent="0.25">
      <c r="A23" s="58" t="e">
        <f>TIMEVALUE(SUBSTITUTE('Daily CIO'!I24, CHAR(42),""))</f>
        <v>#VALUE!</v>
      </c>
      <c r="B23" s="58" t="e">
        <f>TIMEVALUE(SUBSTITUTE('Daily CIO'!J24, CHAR(42),""))</f>
        <v>#VALUE!</v>
      </c>
      <c r="C23" s="58" t="e">
        <f>TIMEVALUE(SUBSTITUTE('Daily CIO'!K24, CHAR(42),""))</f>
        <v>#VALUE!</v>
      </c>
      <c r="D23" s="58" t="e">
        <f>TIMEVALUE(SUBSTITUTE('Daily CIO'!L24, CHAR(42),""))</f>
        <v>#VALUE!</v>
      </c>
      <c r="E23" s="58" t="e">
        <f>TIMEVALUE(SUBSTITUTE('Daily CIO'!M24, CHAR(42),""))</f>
        <v>#VALUE!</v>
      </c>
      <c r="O23" s="54">
        <f ca="1">HOUR(NOW())</f>
        <v>12</v>
      </c>
    </row>
    <row r="24" spans="1:15" x14ac:dyDescent="0.25">
      <c r="A24" s="58" t="e">
        <f>TIMEVALUE(SUBSTITUTE('Daily CIO'!I25, CHAR(42),""))</f>
        <v>#VALUE!</v>
      </c>
      <c r="B24" s="58" t="e">
        <f>TIMEVALUE(SUBSTITUTE('Daily CIO'!J25, CHAR(42),""))</f>
        <v>#VALUE!</v>
      </c>
      <c r="C24" s="58" t="e">
        <f>TIMEVALUE(SUBSTITUTE('Daily CIO'!K25, CHAR(42),""))</f>
        <v>#VALUE!</v>
      </c>
      <c r="D24" s="58" t="e">
        <f>TIMEVALUE(SUBSTITUTE('Daily CIO'!L25, CHAR(42),""))</f>
        <v>#VALUE!</v>
      </c>
      <c r="E24" s="58" t="e">
        <f>TIMEVALUE(SUBSTITUTE('Daily CIO'!M25, CHAR(42),""))</f>
        <v>#VALUE!</v>
      </c>
      <c r="O24" s="12">
        <f ca="1">_xlfn.NUMBERVALUE(O23)</f>
        <v>12</v>
      </c>
    </row>
    <row r="25" spans="1:15" x14ac:dyDescent="0.25">
      <c r="A25" s="58" t="e">
        <f>TIMEVALUE(SUBSTITUTE('Daily CIO'!I26, CHAR(42),""))</f>
        <v>#VALUE!</v>
      </c>
      <c r="B25" s="58" t="e">
        <f>TIMEVALUE(SUBSTITUTE('Daily CIO'!J26, CHAR(42),""))</f>
        <v>#VALUE!</v>
      </c>
      <c r="C25" s="58" t="e">
        <f>TIMEVALUE(SUBSTITUTE('Daily CIO'!K26, CHAR(42),""))</f>
        <v>#VALUE!</v>
      </c>
      <c r="D25" s="58" t="e">
        <f>TIMEVALUE(SUBSTITUTE('Daily CIO'!L26, CHAR(42),""))</f>
        <v>#VALUE!</v>
      </c>
      <c r="E25" s="58" t="e">
        <f>TIMEVALUE(SUBSTITUTE('Daily CIO'!M26, CHAR(42),""))</f>
        <v>#VALUE!</v>
      </c>
    </row>
    <row r="26" spans="1:15" x14ac:dyDescent="0.25">
      <c r="A26" s="58" t="e">
        <f>TIMEVALUE(SUBSTITUTE('Daily CIO'!I27, CHAR(42),""))</f>
        <v>#VALUE!</v>
      </c>
      <c r="B26" s="58" t="e">
        <f>TIMEVALUE(SUBSTITUTE('Daily CIO'!J27, CHAR(42),""))</f>
        <v>#VALUE!</v>
      </c>
      <c r="C26" s="58" t="e">
        <f>TIMEVALUE(SUBSTITUTE('Daily CIO'!K27, CHAR(42),""))</f>
        <v>#VALUE!</v>
      </c>
      <c r="D26" s="58" t="e">
        <f>TIMEVALUE(SUBSTITUTE('Daily CIO'!L27, CHAR(42),""))</f>
        <v>#VALUE!</v>
      </c>
      <c r="E26" s="58" t="e">
        <f>TIMEVALUE(SUBSTITUTE('Daily CIO'!M27, CHAR(42),""))</f>
        <v>#VALUE!</v>
      </c>
    </row>
    <row r="27" spans="1:15" x14ac:dyDescent="0.25">
      <c r="A27" s="58" t="e">
        <f>TIMEVALUE(SUBSTITUTE('Daily CIO'!I28, CHAR(42),""))</f>
        <v>#VALUE!</v>
      </c>
      <c r="B27" s="58" t="e">
        <f>TIMEVALUE(SUBSTITUTE('Daily CIO'!J28, CHAR(42),""))</f>
        <v>#VALUE!</v>
      </c>
      <c r="C27" s="58" t="e">
        <f>TIMEVALUE(SUBSTITUTE('Daily CIO'!K28, CHAR(42),""))</f>
        <v>#VALUE!</v>
      </c>
      <c r="D27" s="58" t="e">
        <f>TIMEVALUE(SUBSTITUTE('Daily CIO'!L28, CHAR(42),""))</f>
        <v>#VALUE!</v>
      </c>
      <c r="E27" s="58" t="e">
        <f>TIMEVALUE(SUBSTITUTE('Daily CIO'!M28, CHAR(42),""))</f>
        <v>#VALUE!</v>
      </c>
    </row>
    <row r="28" spans="1:15" x14ac:dyDescent="0.25">
      <c r="A28" s="58" t="e">
        <f>TIMEVALUE(SUBSTITUTE('Daily CIO'!I29, CHAR(42),""))</f>
        <v>#VALUE!</v>
      </c>
      <c r="B28" s="58" t="e">
        <f>TIMEVALUE(SUBSTITUTE('Daily CIO'!J29, CHAR(42),""))</f>
        <v>#VALUE!</v>
      </c>
      <c r="C28" s="58" t="e">
        <f>TIMEVALUE(SUBSTITUTE('Daily CIO'!K29, CHAR(42),""))</f>
        <v>#VALUE!</v>
      </c>
      <c r="D28" s="58" t="e">
        <f>TIMEVALUE(SUBSTITUTE('Daily CIO'!L29, CHAR(42),""))</f>
        <v>#VALUE!</v>
      </c>
      <c r="E28" s="58" t="e">
        <f>TIMEVALUE(SUBSTITUTE('Daily CIO'!M29, CHAR(42),""))</f>
        <v>#VALUE!</v>
      </c>
    </row>
    <row r="29" spans="1:15" x14ac:dyDescent="0.25">
      <c r="A29" s="58" t="e">
        <f>TIMEVALUE(SUBSTITUTE('Daily CIO'!I30, CHAR(42),""))</f>
        <v>#VALUE!</v>
      </c>
      <c r="B29" s="58" t="e">
        <f>TIMEVALUE(SUBSTITUTE('Daily CIO'!J30, CHAR(42),""))</f>
        <v>#VALUE!</v>
      </c>
      <c r="C29" s="58" t="e">
        <f>TIMEVALUE(SUBSTITUTE('Daily CIO'!K30, CHAR(42),""))</f>
        <v>#VALUE!</v>
      </c>
      <c r="D29" s="58" t="e">
        <f>TIMEVALUE(SUBSTITUTE('Daily CIO'!L30, CHAR(42),""))</f>
        <v>#VALUE!</v>
      </c>
      <c r="E29" s="58" t="e">
        <f>TIMEVALUE(SUBSTITUTE('Daily CIO'!M30, CHAR(42),""))</f>
        <v>#VALUE!</v>
      </c>
    </row>
    <row r="30" spans="1:15" x14ac:dyDescent="0.25">
      <c r="A30" s="58" t="e">
        <f>TIMEVALUE(SUBSTITUTE('Daily CIO'!I31, CHAR(42),""))</f>
        <v>#VALUE!</v>
      </c>
      <c r="B30" s="58" t="e">
        <f>TIMEVALUE(SUBSTITUTE('Daily CIO'!J31, CHAR(42),""))</f>
        <v>#VALUE!</v>
      </c>
      <c r="C30" s="58" t="e">
        <f>TIMEVALUE(SUBSTITUTE('Daily CIO'!K31, CHAR(42),""))</f>
        <v>#VALUE!</v>
      </c>
      <c r="D30" s="58" t="e">
        <f>TIMEVALUE(SUBSTITUTE('Daily CIO'!L31, CHAR(42),""))</f>
        <v>#VALUE!</v>
      </c>
      <c r="E30" s="58" t="e">
        <f>TIMEVALUE(SUBSTITUTE('Daily CIO'!M31, CHAR(42),""))</f>
        <v>#VALUE!</v>
      </c>
    </row>
    <row r="31" spans="1:15" x14ac:dyDescent="0.25">
      <c r="A31" s="58" t="e">
        <f>TIMEVALUE(SUBSTITUTE('Daily CIO'!I32, CHAR(42),""))</f>
        <v>#VALUE!</v>
      </c>
      <c r="B31" s="58" t="e">
        <f>TIMEVALUE(SUBSTITUTE('Daily CIO'!J32, CHAR(42),""))</f>
        <v>#VALUE!</v>
      </c>
      <c r="C31" s="58" t="e">
        <f>TIMEVALUE(SUBSTITUTE('Daily CIO'!K32, CHAR(42),""))</f>
        <v>#VALUE!</v>
      </c>
      <c r="D31" s="58" t="e">
        <f>TIMEVALUE(SUBSTITUTE('Daily CIO'!L32, CHAR(42),""))</f>
        <v>#VALUE!</v>
      </c>
      <c r="E31" s="58" t="e">
        <f>TIMEVALUE(SUBSTITUTE('Daily CIO'!M32, CHAR(42),""))</f>
        <v>#VALUE!</v>
      </c>
    </row>
    <row r="32" spans="1:15" x14ac:dyDescent="0.25">
      <c r="A32" s="58" t="e">
        <f>TIMEVALUE(SUBSTITUTE('Daily CIO'!I33, CHAR(42),""))</f>
        <v>#VALUE!</v>
      </c>
      <c r="B32" s="58" t="e">
        <f>TIMEVALUE(SUBSTITUTE('Daily CIO'!J33, CHAR(42),""))</f>
        <v>#VALUE!</v>
      </c>
      <c r="C32" s="58" t="e">
        <f>TIMEVALUE(SUBSTITUTE('Daily CIO'!K33, CHAR(42),""))</f>
        <v>#VALUE!</v>
      </c>
      <c r="D32" s="58" t="e">
        <f>TIMEVALUE(SUBSTITUTE('Daily CIO'!L33, CHAR(42),""))</f>
        <v>#VALUE!</v>
      </c>
      <c r="E32" s="58" t="e">
        <f>TIMEVALUE(SUBSTITUTE('Daily CIO'!M33, CHAR(42),""))</f>
        <v>#VALUE!</v>
      </c>
    </row>
    <row r="33" spans="1:5" x14ac:dyDescent="0.25">
      <c r="A33" s="58" t="e">
        <f>TIMEVALUE(SUBSTITUTE('Daily CIO'!I34, CHAR(42),""))</f>
        <v>#VALUE!</v>
      </c>
      <c r="B33" s="58" t="e">
        <f>TIMEVALUE(SUBSTITUTE('Daily CIO'!J34, CHAR(42),""))</f>
        <v>#VALUE!</v>
      </c>
      <c r="C33" s="58" t="e">
        <f>TIMEVALUE(SUBSTITUTE('Daily CIO'!K34, CHAR(42),""))</f>
        <v>#VALUE!</v>
      </c>
      <c r="D33" s="58" t="e">
        <f>TIMEVALUE(SUBSTITUTE('Daily CIO'!L34, CHAR(42),""))</f>
        <v>#VALUE!</v>
      </c>
      <c r="E33" s="58" t="e">
        <f>TIMEVALUE(SUBSTITUTE('Daily CIO'!M34, CHAR(42),""))</f>
        <v>#VALUE!</v>
      </c>
    </row>
    <row r="34" spans="1:5" x14ac:dyDescent="0.25">
      <c r="A34" s="58" t="e">
        <f>TIMEVALUE(SUBSTITUTE('Daily CIO'!I35, CHAR(42),""))</f>
        <v>#VALUE!</v>
      </c>
      <c r="B34" s="58" t="e">
        <f>TIMEVALUE(SUBSTITUTE('Daily CIO'!J35, CHAR(42),""))</f>
        <v>#VALUE!</v>
      </c>
      <c r="C34" s="58" t="e">
        <f>TIMEVALUE(SUBSTITUTE('Daily CIO'!K35, CHAR(42),""))</f>
        <v>#VALUE!</v>
      </c>
      <c r="D34" s="58" t="e">
        <f>TIMEVALUE(SUBSTITUTE('Daily CIO'!L35, CHAR(42),""))</f>
        <v>#VALUE!</v>
      </c>
      <c r="E34" s="58" t="e">
        <f>TIMEVALUE(SUBSTITUTE('Daily CIO'!M35, CHAR(42),""))</f>
        <v>#VALUE!</v>
      </c>
    </row>
    <row r="35" spans="1:5" x14ac:dyDescent="0.25">
      <c r="A35" s="58" t="e">
        <f>TIMEVALUE(SUBSTITUTE('Daily CIO'!I36, CHAR(42),""))</f>
        <v>#VALUE!</v>
      </c>
      <c r="B35" s="58" t="e">
        <f>TIMEVALUE(SUBSTITUTE('Daily CIO'!J36, CHAR(42),""))</f>
        <v>#VALUE!</v>
      </c>
      <c r="C35" s="58" t="e">
        <f>TIMEVALUE(SUBSTITUTE('Daily CIO'!K36, CHAR(42),""))</f>
        <v>#VALUE!</v>
      </c>
      <c r="D35" s="58" t="e">
        <f>TIMEVALUE(SUBSTITUTE('Daily CIO'!L36, CHAR(42),""))</f>
        <v>#VALUE!</v>
      </c>
      <c r="E35" s="58" t="e">
        <f>TIMEVALUE(SUBSTITUTE('Daily CIO'!M36, CHAR(42),""))</f>
        <v>#VALUE!</v>
      </c>
    </row>
    <row r="36" spans="1:5" x14ac:dyDescent="0.25">
      <c r="A36" s="58" t="e">
        <f>TIMEVALUE(SUBSTITUTE('Daily CIO'!I37, CHAR(42),""))</f>
        <v>#VALUE!</v>
      </c>
      <c r="B36" s="58" t="e">
        <f>TIMEVALUE(SUBSTITUTE('Daily CIO'!J37, CHAR(42),""))</f>
        <v>#VALUE!</v>
      </c>
      <c r="C36" s="58" t="e">
        <f>TIMEVALUE(SUBSTITUTE('Daily CIO'!K37, CHAR(42),""))</f>
        <v>#VALUE!</v>
      </c>
      <c r="D36" s="58" t="e">
        <f>TIMEVALUE(SUBSTITUTE('Daily CIO'!L37, CHAR(42),""))</f>
        <v>#VALUE!</v>
      </c>
      <c r="E36" s="58" t="e">
        <f>TIMEVALUE(SUBSTITUTE('Daily CIO'!M37, CHAR(42),""))</f>
        <v>#VALUE!</v>
      </c>
    </row>
    <row r="37" spans="1:5" x14ac:dyDescent="0.25">
      <c r="A37" s="58" t="e">
        <f>TIMEVALUE(SUBSTITUTE('Daily CIO'!I38, CHAR(42),""))</f>
        <v>#VALUE!</v>
      </c>
      <c r="B37" s="58" t="e">
        <f>TIMEVALUE(SUBSTITUTE('Daily CIO'!J38, CHAR(42),""))</f>
        <v>#VALUE!</v>
      </c>
      <c r="C37" s="58" t="e">
        <f>TIMEVALUE(SUBSTITUTE('Daily CIO'!K38, CHAR(42),""))</f>
        <v>#VALUE!</v>
      </c>
      <c r="D37" s="58" t="e">
        <f>TIMEVALUE(SUBSTITUTE('Daily CIO'!L38, CHAR(42),""))</f>
        <v>#VALUE!</v>
      </c>
      <c r="E37" s="58" t="e">
        <f>TIMEVALUE(SUBSTITUTE('Daily CIO'!M38, CHAR(42),""))</f>
        <v>#VALUE!</v>
      </c>
    </row>
    <row r="38" spans="1:5" x14ac:dyDescent="0.25">
      <c r="A38" s="58">
        <f>TIMEVALUE(SUBSTITUTE('Daily CIO'!I39, CHAR(42),""))</f>
        <v>0.40902777777777777</v>
      </c>
      <c r="B38" s="58" t="e">
        <f>TIMEVALUE(SUBSTITUTE('Daily CIO'!J39, CHAR(42),""))</f>
        <v>#VALUE!</v>
      </c>
      <c r="C38" s="58" t="e">
        <f>TIMEVALUE(SUBSTITUTE('Daily CIO'!K39, CHAR(42),""))</f>
        <v>#VALUE!</v>
      </c>
      <c r="D38" s="58" t="e">
        <f>TIMEVALUE(SUBSTITUTE('Daily CIO'!L39, CHAR(42),""))</f>
        <v>#VALUE!</v>
      </c>
      <c r="E38" s="58" t="e">
        <f>TIMEVALUE(SUBSTITUTE('Daily CIO'!M39, CHAR(42),""))</f>
        <v>#VALUE!</v>
      </c>
    </row>
    <row r="39" spans="1:5" x14ac:dyDescent="0.25">
      <c r="A39" s="58" t="e">
        <f>TIMEVALUE(SUBSTITUTE('Daily CIO'!I40, CHAR(42),""))</f>
        <v>#VALUE!</v>
      </c>
      <c r="B39" s="58">
        <f>TIMEVALUE(SUBSTITUTE('Daily CIO'!J40, CHAR(42),""))</f>
        <v>0.12152777777777778</v>
      </c>
      <c r="C39" s="58" t="e">
        <f>TIMEVALUE(SUBSTITUTE('Daily CIO'!K40, CHAR(42),""))</f>
        <v>#VALUE!</v>
      </c>
      <c r="D39" s="58" t="e">
        <f>TIMEVALUE(SUBSTITUTE('Daily CIO'!L40, CHAR(42),""))</f>
        <v>#VALUE!</v>
      </c>
      <c r="E39" s="58" t="e">
        <f>TIMEVALUE(SUBSTITUTE('Daily CIO'!M40, CHAR(42),""))</f>
        <v>#VALUE!</v>
      </c>
    </row>
    <row r="40" spans="1:5" x14ac:dyDescent="0.25">
      <c r="A40" s="58">
        <f>TIMEVALUE(SUBSTITUTE('Daily CIO'!I41, CHAR(42),""))</f>
        <v>0.38541666666666669</v>
      </c>
      <c r="B40" s="58" t="e">
        <f>TIMEVALUE(SUBSTITUTE('Daily CIO'!J41, CHAR(42),""))</f>
        <v>#VALUE!</v>
      </c>
      <c r="C40" s="58" t="e">
        <f>TIMEVALUE(SUBSTITUTE('Daily CIO'!K41, CHAR(42),""))</f>
        <v>#VALUE!</v>
      </c>
      <c r="D40" s="58" t="e">
        <f>TIMEVALUE(SUBSTITUTE('Daily CIO'!L41, CHAR(42),""))</f>
        <v>#VALUE!</v>
      </c>
      <c r="E40" s="58" t="e">
        <f>TIMEVALUE(SUBSTITUTE('Daily CIO'!M41, CHAR(42),""))</f>
        <v>#VALUE!</v>
      </c>
    </row>
    <row r="41" spans="1:5" x14ac:dyDescent="0.25">
      <c r="A41" s="58">
        <f>TIMEVALUE(SUBSTITUTE('Daily CIO'!I42, CHAR(42),""))</f>
        <v>0.35347222222222219</v>
      </c>
      <c r="B41" s="58" t="e">
        <f>TIMEVALUE(SUBSTITUTE('Daily CIO'!J42, CHAR(42),""))</f>
        <v>#VALUE!</v>
      </c>
      <c r="C41" s="58" t="e">
        <f>TIMEVALUE(SUBSTITUTE('Daily CIO'!K42, CHAR(42),""))</f>
        <v>#VALUE!</v>
      </c>
      <c r="D41" s="58" t="e">
        <f>TIMEVALUE(SUBSTITUTE('Daily CIO'!L42, CHAR(42),""))</f>
        <v>#VALUE!</v>
      </c>
      <c r="E41" s="58" t="e">
        <f>TIMEVALUE(SUBSTITUTE('Daily CIO'!M42, CHAR(42),""))</f>
        <v>#VALUE!</v>
      </c>
    </row>
    <row r="42" spans="1:5" x14ac:dyDescent="0.25">
      <c r="A42" s="58" t="e">
        <f>TIMEVALUE(SUBSTITUTE('Daily CIO'!I43, CHAR(42),""))</f>
        <v>#VALUE!</v>
      </c>
      <c r="B42" s="58" t="e">
        <f>TIMEVALUE(SUBSTITUTE('Daily CIO'!J43, CHAR(42),""))</f>
        <v>#VALUE!</v>
      </c>
      <c r="C42" s="58" t="e">
        <f>TIMEVALUE(SUBSTITUTE('Daily CIO'!K43, CHAR(42),""))</f>
        <v>#VALUE!</v>
      </c>
      <c r="D42" s="58" t="e">
        <f>TIMEVALUE(SUBSTITUTE('Daily CIO'!L43, CHAR(42),""))</f>
        <v>#VALUE!</v>
      </c>
      <c r="E42" s="58" t="e">
        <f>TIMEVALUE(SUBSTITUTE('Daily CIO'!M43, CHAR(42),""))</f>
        <v>#VALUE!</v>
      </c>
    </row>
    <row r="43" spans="1:5" x14ac:dyDescent="0.25">
      <c r="A43" s="58" t="e">
        <f>TIMEVALUE(SUBSTITUTE('Daily CIO'!I44, CHAR(42),""))</f>
        <v>#VALUE!</v>
      </c>
      <c r="B43" s="58" t="e">
        <f>TIMEVALUE(SUBSTITUTE('Daily CIO'!J44, CHAR(42),""))</f>
        <v>#VALUE!</v>
      </c>
      <c r="C43" s="58" t="e">
        <f>TIMEVALUE(SUBSTITUTE('Daily CIO'!K44, CHAR(42),""))</f>
        <v>#VALUE!</v>
      </c>
      <c r="D43" s="58" t="e">
        <f>TIMEVALUE(SUBSTITUTE('Daily CIO'!L44, CHAR(42),""))</f>
        <v>#VALUE!</v>
      </c>
      <c r="E43" s="58" t="e">
        <f>TIMEVALUE(SUBSTITUTE('Daily CIO'!M44, CHAR(42),""))</f>
        <v>#VALUE!</v>
      </c>
    </row>
    <row r="44" spans="1:5" x14ac:dyDescent="0.25">
      <c r="A44" s="58" t="e">
        <f>TIMEVALUE(SUBSTITUTE('Daily CIO'!I45, CHAR(42),""))</f>
        <v>#VALUE!</v>
      </c>
      <c r="B44" s="58" t="e">
        <f>TIMEVALUE(SUBSTITUTE('Daily CIO'!J45, CHAR(42),""))</f>
        <v>#VALUE!</v>
      </c>
      <c r="C44" s="58" t="e">
        <f>TIMEVALUE(SUBSTITUTE('Daily CIO'!K45, CHAR(42),""))</f>
        <v>#VALUE!</v>
      </c>
      <c r="D44" s="58" t="e">
        <f>TIMEVALUE(SUBSTITUTE('Daily CIO'!L45, CHAR(42),""))</f>
        <v>#VALUE!</v>
      </c>
      <c r="E44" s="58" t="e">
        <f>TIMEVALUE(SUBSTITUTE('Daily CIO'!M45, CHAR(42),""))</f>
        <v>#VALUE!</v>
      </c>
    </row>
    <row r="45" spans="1:5" x14ac:dyDescent="0.25">
      <c r="A45" s="58" t="e">
        <f>TIMEVALUE(SUBSTITUTE('Daily CIO'!I46, CHAR(42),""))</f>
        <v>#VALUE!</v>
      </c>
      <c r="B45" s="58" t="e">
        <f>TIMEVALUE(SUBSTITUTE('Daily CIO'!J46, CHAR(42),""))</f>
        <v>#VALUE!</v>
      </c>
      <c r="C45" s="58" t="e">
        <f>TIMEVALUE(SUBSTITUTE('Daily CIO'!K46, CHAR(42),""))</f>
        <v>#VALUE!</v>
      </c>
      <c r="D45" s="58" t="e">
        <f>TIMEVALUE(SUBSTITUTE('Daily CIO'!L46, CHAR(42),""))</f>
        <v>#VALUE!</v>
      </c>
      <c r="E45" s="58" t="e">
        <f>TIMEVALUE(SUBSTITUTE('Daily CIO'!M46, CHAR(42),""))</f>
        <v>#VALUE!</v>
      </c>
    </row>
    <row r="46" spans="1:5" x14ac:dyDescent="0.25">
      <c r="A46" s="58" t="e">
        <f>TIMEVALUE(SUBSTITUTE('Daily CIO'!I47, CHAR(42),""))</f>
        <v>#VALUE!</v>
      </c>
      <c r="B46" s="58" t="e">
        <f>TIMEVALUE(SUBSTITUTE('Daily CIO'!J47, CHAR(42),""))</f>
        <v>#VALUE!</v>
      </c>
      <c r="C46" s="58" t="e">
        <f>TIMEVALUE(SUBSTITUTE('Daily CIO'!K47, CHAR(42),""))</f>
        <v>#VALUE!</v>
      </c>
      <c r="D46" s="58" t="e">
        <f>TIMEVALUE(SUBSTITUTE('Daily CIO'!L47, CHAR(42),""))</f>
        <v>#VALUE!</v>
      </c>
      <c r="E46" s="58" t="e">
        <f>TIMEVALUE(SUBSTITUTE('Daily CIO'!M47, CHAR(42),""))</f>
        <v>#VALUE!</v>
      </c>
    </row>
    <row r="47" spans="1:5" x14ac:dyDescent="0.25">
      <c r="A47" s="58" t="e">
        <f>TIMEVALUE(SUBSTITUTE('Daily CIO'!I48, CHAR(42),""))</f>
        <v>#VALUE!</v>
      </c>
      <c r="B47" s="58" t="e">
        <f>TIMEVALUE(SUBSTITUTE('Daily CIO'!J48, CHAR(42),""))</f>
        <v>#VALUE!</v>
      </c>
      <c r="C47" s="58" t="e">
        <f>TIMEVALUE(SUBSTITUTE('Daily CIO'!K48, CHAR(42),""))</f>
        <v>#VALUE!</v>
      </c>
      <c r="D47" s="58" t="e">
        <f>TIMEVALUE(SUBSTITUTE('Daily CIO'!L48, CHAR(42),""))</f>
        <v>#VALUE!</v>
      </c>
      <c r="E47" s="58" t="e">
        <f>TIMEVALUE(SUBSTITUTE('Daily CIO'!M48, CHAR(42),""))</f>
        <v>#VALUE!</v>
      </c>
    </row>
    <row r="48" spans="1:5" x14ac:dyDescent="0.25">
      <c r="A48" s="58" t="e">
        <f>TIMEVALUE(SUBSTITUTE('Daily CIO'!I49, CHAR(42),""))</f>
        <v>#VALUE!</v>
      </c>
      <c r="B48" s="58">
        <f>TIMEVALUE(SUBSTITUTE('Daily CIO'!J49, CHAR(42),""))</f>
        <v>6.0416666666666667E-2</v>
      </c>
      <c r="C48" s="58" t="e">
        <f>TIMEVALUE(SUBSTITUTE('Daily CIO'!K49, CHAR(42),""))</f>
        <v>#VALUE!</v>
      </c>
      <c r="D48" s="58" t="e">
        <f>TIMEVALUE(SUBSTITUTE('Daily CIO'!L49, CHAR(42),""))</f>
        <v>#VALUE!</v>
      </c>
      <c r="E48" s="58" t="e">
        <f>TIMEVALUE(SUBSTITUTE('Daily CIO'!M49, CHAR(42),""))</f>
        <v>#VALUE!</v>
      </c>
    </row>
    <row r="49" spans="1:5" x14ac:dyDescent="0.25">
      <c r="A49" s="58" t="e">
        <f>TIMEVALUE(SUBSTITUTE('Daily CIO'!I50, CHAR(42),""))</f>
        <v>#VALUE!</v>
      </c>
      <c r="B49" s="58" t="e">
        <f>TIMEVALUE(SUBSTITUTE('Daily CIO'!J50, CHAR(42),""))</f>
        <v>#VALUE!</v>
      </c>
      <c r="C49" s="58" t="e">
        <f>TIMEVALUE(SUBSTITUTE('Daily CIO'!K50, CHAR(42),""))</f>
        <v>#VALUE!</v>
      </c>
      <c r="D49" s="58" t="e">
        <f>TIMEVALUE(SUBSTITUTE('Daily CIO'!L50, CHAR(42),""))</f>
        <v>#VALUE!</v>
      </c>
      <c r="E49" s="58" t="e">
        <f>TIMEVALUE(SUBSTITUTE('Daily CIO'!M50, CHAR(42),""))</f>
        <v>#VALUE!</v>
      </c>
    </row>
    <row r="50" spans="1:5" x14ac:dyDescent="0.25">
      <c r="A50" s="58" t="e">
        <f>TIMEVALUE(SUBSTITUTE('Daily CIO'!I51, CHAR(42),""))</f>
        <v>#VALUE!</v>
      </c>
      <c r="B50" s="58">
        <f>TIMEVALUE(SUBSTITUTE('Daily CIO'!J51, CHAR(42),""))</f>
        <v>4.5138888888888888E-2</v>
      </c>
      <c r="C50" s="58" t="e">
        <f>TIMEVALUE(SUBSTITUTE('Daily CIO'!K51, CHAR(42),""))</f>
        <v>#VALUE!</v>
      </c>
      <c r="D50" s="58" t="e">
        <f>TIMEVALUE(SUBSTITUTE('Daily CIO'!L51, CHAR(42),""))</f>
        <v>#VALUE!</v>
      </c>
      <c r="E50" s="58" t="e">
        <f>TIMEVALUE(SUBSTITUTE('Daily CIO'!M51, CHAR(42),""))</f>
        <v>#VALUE!</v>
      </c>
    </row>
    <row r="51" spans="1:5" x14ac:dyDescent="0.25">
      <c r="A51" s="58" t="e">
        <f>TIMEVALUE(SUBSTITUTE('Daily CIO'!I52, CHAR(42),""))</f>
        <v>#VALUE!</v>
      </c>
      <c r="B51" s="58" t="e">
        <f>TIMEVALUE(SUBSTITUTE('Daily CIO'!J52, CHAR(42),""))</f>
        <v>#VALUE!</v>
      </c>
      <c r="C51" s="58" t="e">
        <f>TIMEVALUE(SUBSTITUTE('Daily CIO'!K52, CHAR(42),""))</f>
        <v>#VALUE!</v>
      </c>
      <c r="D51" s="58" t="e">
        <f>TIMEVALUE(SUBSTITUTE('Daily CIO'!L52, CHAR(42),""))</f>
        <v>#VALUE!</v>
      </c>
      <c r="E51" s="58" t="e">
        <f>TIMEVALUE(SUBSTITUTE('Daily CIO'!M52, CHAR(42),""))</f>
        <v>#VALUE!</v>
      </c>
    </row>
    <row r="52" spans="1:5" x14ac:dyDescent="0.25">
      <c r="A52" s="58" t="e">
        <f>TIMEVALUE(SUBSTITUTE('Daily CIO'!I53, CHAR(42),""))</f>
        <v>#VALUE!</v>
      </c>
      <c r="B52" s="58" t="e">
        <f>TIMEVALUE(SUBSTITUTE('Daily CIO'!J53, CHAR(42),""))</f>
        <v>#VALUE!</v>
      </c>
      <c r="C52" s="58" t="e">
        <f>TIMEVALUE(SUBSTITUTE('Daily CIO'!K53, CHAR(42),""))</f>
        <v>#VALUE!</v>
      </c>
      <c r="D52" s="58" t="e">
        <f>TIMEVALUE(SUBSTITUTE('Daily CIO'!L53, CHAR(42),""))</f>
        <v>#VALUE!</v>
      </c>
      <c r="E52" s="58" t="e">
        <f>TIMEVALUE(SUBSTITUTE('Daily CIO'!M53, CHAR(42),""))</f>
        <v>#VALUE!</v>
      </c>
    </row>
    <row r="53" spans="1:5" x14ac:dyDescent="0.25">
      <c r="A53" s="58" t="e">
        <f>TIMEVALUE(SUBSTITUTE('Daily CIO'!I54, CHAR(42),""))</f>
        <v>#VALUE!</v>
      </c>
      <c r="B53" s="58">
        <f>TIMEVALUE(SUBSTITUTE('Daily CIO'!J54, CHAR(42),""))</f>
        <v>0.19652777777777777</v>
      </c>
      <c r="C53" s="58" t="e">
        <f>TIMEVALUE(SUBSTITUTE('Daily CIO'!K54, CHAR(42),""))</f>
        <v>#VALUE!</v>
      </c>
      <c r="D53" s="58" t="e">
        <f>TIMEVALUE(SUBSTITUTE('Daily CIO'!L54, CHAR(42),""))</f>
        <v>#VALUE!</v>
      </c>
      <c r="E53" s="58" t="e">
        <f>TIMEVALUE(SUBSTITUTE('Daily CIO'!M54, CHAR(42),""))</f>
        <v>#VALUE!</v>
      </c>
    </row>
    <row r="54" spans="1:5" x14ac:dyDescent="0.25">
      <c r="A54" s="58" t="e">
        <f>TIMEVALUE(SUBSTITUTE('Daily CIO'!I55, CHAR(42),""))</f>
        <v>#VALUE!</v>
      </c>
      <c r="B54" s="58" t="e">
        <f>TIMEVALUE(SUBSTITUTE('Daily CIO'!J55, CHAR(42),""))</f>
        <v>#VALUE!</v>
      </c>
      <c r="C54" s="58" t="e">
        <f>TIMEVALUE(SUBSTITUTE('Daily CIO'!K55, CHAR(42),""))</f>
        <v>#VALUE!</v>
      </c>
      <c r="D54" s="58" t="e">
        <f>TIMEVALUE(SUBSTITUTE('Daily CIO'!L55, CHAR(42),""))</f>
        <v>#VALUE!</v>
      </c>
      <c r="E54" s="58" t="e">
        <f>TIMEVALUE(SUBSTITUTE('Daily CIO'!M55, CHAR(42),""))</f>
        <v>#VALUE!</v>
      </c>
    </row>
    <row r="55" spans="1:5" x14ac:dyDescent="0.25">
      <c r="A55" s="58">
        <f>TIMEVALUE(SUBSTITUTE('Daily CIO'!I56, CHAR(42),""))</f>
        <v>0.42152777777777778</v>
      </c>
      <c r="B55" s="58" t="e">
        <f>TIMEVALUE(SUBSTITUTE('Daily CIO'!J56, CHAR(42),""))</f>
        <v>#VALUE!</v>
      </c>
      <c r="C55" s="58" t="e">
        <f>TIMEVALUE(SUBSTITUTE('Daily CIO'!K56, CHAR(42),""))</f>
        <v>#VALUE!</v>
      </c>
      <c r="D55" s="58" t="e">
        <f>TIMEVALUE(SUBSTITUTE('Daily CIO'!L56, CHAR(42),""))</f>
        <v>#VALUE!</v>
      </c>
      <c r="E55" s="58" t="e">
        <f>TIMEVALUE(SUBSTITUTE('Daily CIO'!M56, CHAR(42),""))</f>
        <v>#VALUE!</v>
      </c>
    </row>
    <row r="56" spans="1:5" x14ac:dyDescent="0.25">
      <c r="A56" s="58" t="e">
        <f>TIMEVALUE(SUBSTITUTE('Daily CIO'!I57, CHAR(42),""))</f>
        <v>#VALUE!</v>
      </c>
      <c r="B56" s="58" t="e">
        <f>TIMEVALUE(SUBSTITUTE('Daily CIO'!J57, CHAR(42),""))</f>
        <v>#VALUE!</v>
      </c>
      <c r="C56" s="58" t="e">
        <f>TIMEVALUE(SUBSTITUTE('Daily CIO'!K57, CHAR(42),""))</f>
        <v>#VALUE!</v>
      </c>
      <c r="D56" s="58" t="e">
        <f>TIMEVALUE(SUBSTITUTE('Daily CIO'!L57, CHAR(42),""))</f>
        <v>#VALUE!</v>
      </c>
      <c r="E56" s="58" t="e">
        <f>TIMEVALUE(SUBSTITUTE('Daily CIO'!M57, CHAR(42),""))</f>
        <v>#VALUE!</v>
      </c>
    </row>
    <row r="57" spans="1:5" x14ac:dyDescent="0.25">
      <c r="A57" s="58" t="e">
        <f>TIMEVALUE(SUBSTITUTE('Daily CIO'!I58, CHAR(42),""))</f>
        <v>#VALUE!</v>
      </c>
      <c r="B57" s="58" t="e">
        <f>TIMEVALUE(SUBSTITUTE('Daily CIO'!J58, CHAR(42),""))</f>
        <v>#VALUE!</v>
      </c>
      <c r="C57" s="58" t="e">
        <f>TIMEVALUE(SUBSTITUTE('Daily CIO'!K58, CHAR(42),""))</f>
        <v>#VALUE!</v>
      </c>
      <c r="D57" s="58" t="e">
        <f>TIMEVALUE(SUBSTITUTE('Daily CIO'!L58, CHAR(42),""))</f>
        <v>#VALUE!</v>
      </c>
      <c r="E57" s="58" t="e">
        <f>TIMEVALUE(SUBSTITUTE('Daily CIO'!M58, CHAR(42),""))</f>
        <v>#VALUE!</v>
      </c>
    </row>
    <row r="58" spans="1:5" x14ac:dyDescent="0.25">
      <c r="A58" s="58" t="e">
        <f>TIMEVALUE(SUBSTITUTE('Daily CIO'!I59, CHAR(42),""))</f>
        <v>#VALUE!</v>
      </c>
      <c r="B58" s="58" t="e">
        <f>TIMEVALUE(SUBSTITUTE('Daily CIO'!J59, CHAR(42),""))</f>
        <v>#VALUE!</v>
      </c>
      <c r="C58" s="58" t="e">
        <f>TIMEVALUE(SUBSTITUTE('Daily CIO'!K59, CHAR(42),""))</f>
        <v>#VALUE!</v>
      </c>
      <c r="D58" s="58" t="e">
        <f>TIMEVALUE(SUBSTITUTE('Daily CIO'!L59, CHAR(42),""))</f>
        <v>#VALUE!</v>
      </c>
      <c r="E58" s="58" t="e">
        <f>TIMEVALUE(SUBSTITUTE('Daily CIO'!M59, CHAR(42),""))</f>
        <v>#VALUE!</v>
      </c>
    </row>
    <row r="59" spans="1:5" x14ac:dyDescent="0.25">
      <c r="A59" s="58" t="e">
        <f>TIMEVALUE(SUBSTITUTE('Daily CIO'!I60, CHAR(42),""))</f>
        <v>#VALUE!</v>
      </c>
      <c r="B59" s="58" t="e">
        <f>TIMEVALUE(SUBSTITUTE('Daily CIO'!J60, CHAR(42),""))</f>
        <v>#VALUE!</v>
      </c>
      <c r="C59" s="58" t="e">
        <f>TIMEVALUE(SUBSTITUTE('Daily CIO'!K60, CHAR(42),""))</f>
        <v>#VALUE!</v>
      </c>
      <c r="D59" s="58" t="e">
        <f>TIMEVALUE(SUBSTITUTE('Daily CIO'!L60, CHAR(42),""))</f>
        <v>#VALUE!</v>
      </c>
      <c r="E59" s="58" t="e">
        <f>TIMEVALUE(SUBSTITUTE('Daily CIO'!M60, CHAR(42),""))</f>
        <v>#VALUE!</v>
      </c>
    </row>
    <row r="60" spans="1:5" x14ac:dyDescent="0.25">
      <c r="A60" s="58" t="e">
        <f>TIMEVALUE(SUBSTITUTE('Daily CIO'!I61, CHAR(42),""))</f>
        <v>#VALUE!</v>
      </c>
      <c r="B60" s="58" t="e">
        <f>TIMEVALUE(SUBSTITUTE('Daily CIO'!J61, CHAR(42),""))</f>
        <v>#VALUE!</v>
      </c>
      <c r="C60" s="58" t="e">
        <f>TIMEVALUE(SUBSTITUTE('Daily CIO'!K61, CHAR(42),""))</f>
        <v>#VALUE!</v>
      </c>
      <c r="D60" s="58" t="e">
        <f>TIMEVALUE(SUBSTITUTE('Daily CIO'!L61, CHAR(42),""))</f>
        <v>#VALUE!</v>
      </c>
      <c r="E60" s="58" t="e">
        <f>TIMEVALUE(SUBSTITUTE('Daily CIO'!M61, CHAR(42),""))</f>
        <v>#VALUE!</v>
      </c>
    </row>
    <row r="61" spans="1:5" x14ac:dyDescent="0.25">
      <c r="A61" s="58" t="e">
        <f>TIMEVALUE(SUBSTITUTE('Daily CIO'!I62, CHAR(42),""))</f>
        <v>#VALUE!</v>
      </c>
      <c r="B61" s="58">
        <f>TIMEVALUE(SUBSTITUTE('Daily CIO'!J62, CHAR(42),""))</f>
        <v>0.47847222222222219</v>
      </c>
      <c r="C61" s="58" t="e">
        <f>TIMEVALUE(SUBSTITUTE('Daily CIO'!K62, CHAR(42),""))</f>
        <v>#VALUE!</v>
      </c>
      <c r="D61" s="58" t="e">
        <f>TIMEVALUE(SUBSTITUTE('Daily CIO'!L62, CHAR(42),""))</f>
        <v>#VALUE!</v>
      </c>
      <c r="E61" s="58" t="e">
        <f>TIMEVALUE(SUBSTITUTE('Daily CIO'!M62, CHAR(42),""))</f>
        <v>#VALUE!</v>
      </c>
    </row>
    <row r="62" spans="1:5" x14ac:dyDescent="0.25">
      <c r="A62" s="58">
        <f>TIMEVALUE(SUBSTITUTE('Daily CIO'!I63, CHAR(42),""))</f>
        <v>0.15138888888888888</v>
      </c>
      <c r="B62" s="58" t="e">
        <f>TIMEVALUE(SUBSTITUTE('Daily CIO'!J63, CHAR(42),""))</f>
        <v>#VALUE!</v>
      </c>
      <c r="C62" s="58" t="e">
        <f>TIMEVALUE(SUBSTITUTE('Daily CIO'!K63, CHAR(42),""))</f>
        <v>#VALUE!</v>
      </c>
      <c r="D62" s="58" t="e">
        <f>TIMEVALUE(SUBSTITUTE('Daily CIO'!L63, CHAR(42),""))</f>
        <v>#VALUE!</v>
      </c>
      <c r="E62" s="58" t="e">
        <f>TIMEVALUE(SUBSTITUTE('Daily CIO'!M63, CHAR(42),""))</f>
        <v>#VALUE!</v>
      </c>
    </row>
    <row r="63" spans="1:5" x14ac:dyDescent="0.25">
      <c r="A63" s="58" t="e">
        <f>TIMEVALUE(SUBSTITUTE('Daily CIO'!I64, CHAR(42),""))</f>
        <v>#VALUE!</v>
      </c>
      <c r="B63" s="58" t="e">
        <f>TIMEVALUE(SUBSTITUTE('Daily CIO'!J64, CHAR(42),""))</f>
        <v>#VALUE!</v>
      </c>
      <c r="C63" s="58" t="e">
        <f>TIMEVALUE(SUBSTITUTE('Daily CIO'!K64, CHAR(42),""))</f>
        <v>#VALUE!</v>
      </c>
      <c r="D63" s="58" t="e">
        <f>TIMEVALUE(SUBSTITUTE('Daily CIO'!L64, CHAR(42),""))</f>
        <v>#VALUE!</v>
      </c>
      <c r="E63" s="58" t="e">
        <f>TIMEVALUE(SUBSTITUTE('Daily CIO'!M64, CHAR(42),""))</f>
        <v>#VALUE!</v>
      </c>
    </row>
    <row r="64" spans="1:5" x14ac:dyDescent="0.25">
      <c r="A64" s="58" t="e">
        <f>TIMEVALUE(SUBSTITUTE('Daily CIO'!I65, CHAR(42),""))</f>
        <v>#VALUE!</v>
      </c>
      <c r="B64" s="58" t="e">
        <f>TIMEVALUE(SUBSTITUTE('Daily CIO'!J65, CHAR(42),""))</f>
        <v>#VALUE!</v>
      </c>
      <c r="C64" s="58" t="e">
        <f>TIMEVALUE(SUBSTITUTE('Daily CIO'!K65, CHAR(42),""))</f>
        <v>#VALUE!</v>
      </c>
      <c r="D64" s="58" t="e">
        <f>TIMEVALUE(SUBSTITUTE('Daily CIO'!L65, CHAR(42),""))</f>
        <v>#VALUE!</v>
      </c>
      <c r="E64" s="58" t="e">
        <f>TIMEVALUE(SUBSTITUTE('Daily CIO'!M65, CHAR(42),""))</f>
        <v>#VALUE!</v>
      </c>
    </row>
    <row r="65" spans="1:5" x14ac:dyDescent="0.25">
      <c r="A65" s="58" t="e">
        <f>TIMEVALUE(SUBSTITUTE('Daily CIO'!I66, CHAR(42),""))</f>
        <v>#VALUE!</v>
      </c>
      <c r="B65" s="58" t="e">
        <f>TIMEVALUE(SUBSTITUTE('Daily CIO'!J66, CHAR(42),""))</f>
        <v>#VALUE!</v>
      </c>
      <c r="C65" s="58" t="e">
        <f>TIMEVALUE(SUBSTITUTE('Daily CIO'!K66, CHAR(42),""))</f>
        <v>#VALUE!</v>
      </c>
      <c r="D65" s="58" t="e">
        <f>TIMEVALUE(SUBSTITUTE('Daily CIO'!L66, CHAR(42),""))</f>
        <v>#VALUE!</v>
      </c>
      <c r="E65" s="58" t="e">
        <f>TIMEVALUE(SUBSTITUTE('Daily CIO'!M66, CHAR(42),""))</f>
        <v>#VALUE!</v>
      </c>
    </row>
    <row r="66" spans="1:5" x14ac:dyDescent="0.25">
      <c r="A66" s="58">
        <f>TIMEVALUE(SUBSTITUTE('Daily CIO'!I67, CHAR(42),""))</f>
        <v>0.43055555555555558</v>
      </c>
      <c r="B66" s="58" t="e">
        <f>TIMEVALUE(SUBSTITUTE('Daily CIO'!J67, CHAR(42),""))</f>
        <v>#VALUE!</v>
      </c>
      <c r="C66" s="58" t="e">
        <f>TIMEVALUE(SUBSTITUTE('Daily CIO'!K67, CHAR(42),""))</f>
        <v>#VALUE!</v>
      </c>
      <c r="D66" s="58" t="e">
        <f>TIMEVALUE(SUBSTITUTE('Daily CIO'!L67, CHAR(42),""))</f>
        <v>#VALUE!</v>
      </c>
      <c r="E66" s="58" t="e">
        <f>TIMEVALUE(SUBSTITUTE('Daily CIO'!M67, CHAR(42),""))</f>
        <v>#VALUE!</v>
      </c>
    </row>
    <row r="67" spans="1:5" x14ac:dyDescent="0.25">
      <c r="A67" s="58" t="e">
        <f>TIMEVALUE(SUBSTITUTE('Daily CIO'!I68, CHAR(42),""))</f>
        <v>#VALUE!</v>
      </c>
      <c r="B67" s="58" t="e">
        <f>TIMEVALUE(SUBSTITUTE('Daily CIO'!J68, CHAR(42),""))</f>
        <v>#VALUE!</v>
      </c>
      <c r="C67" s="58" t="e">
        <f>TIMEVALUE(SUBSTITUTE('Daily CIO'!K68, CHAR(42),""))</f>
        <v>#VALUE!</v>
      </c>
      <c r="D67" s="58" t="e">
        <f>TIMEVALUE(SUBSTITUTE('Daily CIO'!L68, CHAR(42),""))</f>
        <v>#VALUE!</v>
      </c>
      <c r="E67" s="58" t="e">
        <f>TIMEVALUE(SUBSTITUTE('Daily CIO'!M68, CHAR(42),""))</f>
        <v>#VALUE!</v>
      </c>
    </row>
    <row r="68" spans="1:5" x14ac:dyDescent="0.25">
      <c r="A68" s="58" t="e">
        <f>TIMEVALUE(SUBSTITUTE('Daily CIO'!I69, CHAR(42),""))</f>
        <v>#VALUE!</v>
      </c>
      <c r="B68" s="58">
        <f>TIMEVALUE(SUBSTITUTE('Daily CIO'!J69, CHAR(42),""))</f>
        <v>0.51458333333333328</v>
      </c>
      <c r="C68" s="58" t="e">
        <f>TIMEVALUE(SUBSTITUTE('Daily CIO'!K69, CHAR(42),""))</f>
        <v>#VALUE!</v>
      </c>
      <c r="D68" s="58" t="e">
        <f>TIMEVALUE(SUBSTITUTE('Daily CIO'!L69, CHAR(42),""))</f>
        <v>#VALUE!</v>
      </c>
      <c r="E68" s="58" t="e">
        <f>TIMEVALUE(SUBSTITUTE('Daily CIO'!M69, CHAR(42),""))</f>
        <v>#VALUE!</v>
      </c>
    </row>
    <row r="69" spans="1:5" x14ac:dyDescent="0.25">
      <c r="A69" s="58" t="e">
        <f>TIMEVALUE(SUBSTITUTE('Daily CIO'!I70, CHAR(42),""))</f>
        <v>#VALUE!</v>
      </c>
      <c r="B69" s="58" t="e">
        <f>TIMEVALUE(SUBSTITUTE('Daily CIO'!J70, CHAR(42),""))</f>
        <v>#VALUE!</v>
      </c>
      <c r="C69" s="58" t="e">
        <f>TIMEVALUE(SUBSTITUTE('Daily CIO'!K70, CHAR(42),""))</f>
        <v>#VALUE!</v>
      </c>
      <c r="D69" s="58" t="e">
        <f>TIMEVALUE(SUBSTITUTE('Daily CIO'!L70, CHAR(42),""))</f>
        <v>#VALUE!</v>
      </c>
      <c r="E69" s="58" t="e">
        <f>TIMEVALUE(SUBSTITUTE('Daily CIO'!M70, CHAR(42),""))</f>
        <v>#VALUE!</v>
      </c>
    </row>
    <row r="70" spans="1:5" x14ac:dyDescent="0.25">
      <c r="A70" s="58" t="e">
        <f>TIMEVALUE(SUBSTITUTE('Daily CIO'!I71, CHAR(42),""))</f>
        <v>#VALUE!</v>
      </c>
      <c r="B70" s="58" t="e">
        <f>TIMEVALUE(SUBSTITUTE('Daily CIO'!J71, CHAR(42),""))</f>
        <v>#VALUE!</v>
      </c>
      <c r="C70" s="58">
        <f>TIMEVALUE(SUBSTITUTE('Daily CIO'!K71, CHAR(42),""))</f>
        <v>8.1944444444444445E-2</v>
      </c>
      <c r="D70" s="58">
        <f>TIMEVALUE(SUBSTITUTE('Daily CIO'!L71, CHAR(42),""))</f>
        <v>0.1388888888888889</v>
      </c>
      <c r="E70" s="58" t="e">
        <f>TIMEVALUE(SUBSTITUTE('Daily CIO'!M71, CHAR(42),""))</f>
        <v>#VALUE!</v>
      </c>
    </row>
    <row r="71" spans="1:5" x14ac:dyDescent="0.25">
      <c r="A71" s="58" t="e">
        <f>TIMEVALUE(SUBSTITUTE('Daily CIO'!I72, CHAR(42),""))</f>
        <v>#VALUE!</v>
      </c>
      <c r="B71" s="58">
        <f>TIMEVALUE(SUBSTITUTE('Daily CIO'!J72, CHAR(42),""))</f>
        <v>0.44513888888888892</v>
      </c>
      <c r="C71" s="58" t="e">
        <f>TIMEVALUE(SUBSTITUTE('Daily CIO'!K72, CHAR(42),""))</f>
        <v>#VALUE!</v>
      </c>
      <c r="D71" s="58" t="e">
        <f>TIMEVALUE(SUBSTITUTE('Daily CIO'!L72, CHAR(42),""))</f>
        <v>#VALUE!</v>
      </c>
      <c r="E71" s="58" t="e">
        <f>TIMEVALUE(SUBSTITUTE('Daily CIO'!M72, CHAR(42),""))</f>
        <v>#VALUE!</v>
      </c>
    </row>
    <row r="72" spans="1:5" x14ac:dyDescent="0.25">
      <c r="A72" s="58" t="e">
        <f>TIMEVALUE(SUBSTITUTE('Daily CIO'!I73, CHAR(42),""))</f>
        <v>#VALUE!</v>
      </c>
      <c r="B72" s="58" t="e">
        <f>TIMEVALUE(SUBSTITUTE('Daily CIO'!J73, CHAR(42),""))</f>
        <v>#VALUE!</v>
      </c>
      <c r="C72" s="58" t="e">
        <f>TIMEVALUE(SUBSTITUTE('Daily CIO'!K73, CHAR(42),""))</f>
        <v>#VALUE!</v>
      </c>
      <c r="D72" s="58" t="e">
        <f>TIMEVALUE(SUBSTITUTE('Daily CIO'!L73, CHAR(42),""))</f>
        <v>#VALUE!</v>
      </c>
      <c r="E72" s="58" t="e">
        <f>TIMEVALUE(SUBSTITUTE('Daily CIO'!M73, CHAR(42),""))</f>
        <v>#VALUE!</v>
      </c>
    </row>
    <row r="73" spans="1:5" x14ac:dyDescent="0.25">
      <c r="A73" s="58" t="e">
        <f>TIMEVALUE(SUBSTITUTE('Daily CIO'!I74, CHAR(42),""))</f>
        <v>#VALUE!</v>
      </c>
      <c r="B73" s="58" t="e">
        <f>TIMEVALUE(SUBSTITUTE('Daily CIO'!J74, CHAR(42),""))</f>
        <v>#VALUE!</v>
      </c>
      <c r="C73" s="58" t="e">
        <f>TIMEVALUE(SUBSTITUTE('Daily CIO'!K74, CHAR(42),""))</f>
        <v>#VALUE!</v>
      </c>
      <c r="D73" s="58" t="e">
        <f>TIMEVALUE(SUBSTITUTE('Daily CIO'!L74, CHAR(42),""))</f>
        <v>#VALUE!</v>
      </c>
      <c r="E73" s="58" t="e">
        <f>TIMEVALUE(SUBSTITUTE('Daily CIO'!M74, CHAR(42),""))</f>
        <v>#VALUE!</v>
      </c>
    </row>
    <row r="74" spans="1:5" x14ac:dyDescent="0.25">
      <c r="A74" s="58" t="e">
        <f>TIMEVALUE(SUBSTITUTE('Daily CIO'!I75, CHAR(42),""))</f>
        <v>#VALUE!</v>
      </c>
      <c r="B74" s="58" t="e">
        <f>TIMEVALUE(SUBSTITUTE('Daily CIO'!J75, CHAR(42),""))</f>
        <v>#VALUE!</v>
      </c>
      <c r="C74" s="58" t="e">
        <f>TIMEVALUE(SUBSTITUTE('Daily CIO'!K75, CHAR(42),""))</f>
        <v>#VALUE!</v>
      </c>
      <c r="D74" s="58" t="e">
        <f>TIMEVALUE(SUBSTITUTE('Daily CIO'!L75, CHAR(42),""))</f>
        <v>#VALUE!</v>
      </c>
      <c r="E74" s="58" t="e">
        <f>TIMEVALUE(SUBSTITUTE('Daily CIO'!M75, CHAR(42),""))</f>
        <v>#VALUE!</v>
      </c>
    </row>
    <row r="75" spans="1:5" x14ac:dyDescent="0.25">
      <c r="A75" s="58" t="e">
        <f>TIMEVALUE(SUBSTITUTE('Daily CIO'!I76, CHAR(42),""))</f>
        <v>#VALUE!</v>
      </c>
      <c r="B75" s="58" t="e">
        <f>TIMEVALUE(SUBSTITUTE('Daily CIO'!J76, CHAR(42),""))</f>
        <v>#VALUE!</v>
      </c>
      <c r="C75" s="58">
        <f>TIMEVALUE(SUBSTITUTE('Daily CIO'!K76, CHAR(42),""))</f>
        <v>0.11805555555555557</v>
      </c>
      <c r="D75" s="58">
        <f>TIMEVALUE(SUBSTITUTE('Daily CIO'!L76, CHAR(42),""))</f>
        <v>0.17986111111111111</v>
      </c>
      <c r="E75" s="58" t="e">
        <f>TIMEVALUE(SUBSTITUTE('Daily CIO'!M76, CHAR(42),""))</f>
        <v>#VALUE!</v>
      </c>
    </row>
    <row r="76" spans="1:5" x14ac:dyDescent="0.25">
      <c r="A76" s="58" t="e">
        <f>TIMEVALUE(SUBSTITUTE('Daily CIO'!I77, CHAR(42),""))</f>
        <v>#VALUE!</v>
      </c>
      <c r="B76" s="58" t="e">
        <f>TIMEVALUE(SUBSTITUTE('Daily CIO'!J77, CHAR(42),""))</f>
        <v>#VALUE!</v>
      </c>
      <c r="C76" s="58" t="e">
        <f>TIMEVALUE(SUBSTITUTE('Daily CIO'!K77, CHAR(42),""))</f>
        <v>#VALUE!</v>
      </c>
      <c r="D76" s="58" t="e">
        <f>TIMEVALUE(SUBSTITUTE('Daily CIO'!L77, CHAR(42),""))</f>
        <v>#VALUE!</v>
      </c>
      <c r="E76" s="58" t="e">
        <f>TIMEVALUE(SUBSTITUTE('Daily CIO'!M77, CHAR(42),""))</f>
        <v>#VALUE!</v>
      </c>
    </row>
    <row r="77" spans="1:5" x14ac:dyDescent="0.25">
      <c r="A77" s="58" t="e">
        <f>TIMEVALUE(SUBSTITUTE('Daily CIO'!I78, CHAR(42),""))</f>
        <v>#VALUE!</v>
      </c>
      <c r="B77" s="58" t="e">
        <f>TIMEVALUE(SUBSTITUTE('Daily CIO'!J78, CHAR(42),""))</f>
        <v>#VALUE!</v>
      </c>
      <c r="C77" s="58" t="e">
        <f>TIMEVALUE(SUBSTITUTE('Daily CIO'!K78, CHAR(42),""))</f>
        <v>#VALUE!</v>
      </c>
      <c r="D77" s="58" t="e">
        <f>TIMEVALUE(SUBSTITUTE('Daily CIO'!L78, CHAR(42),""))</f>
        <v>#VALUE!</v>
      </c>
      <c r="E77" s="58" t="e">
        <f>TIMEVALUE(SUBSTITUTE('Daily CIO'!M78, CHAR(42),""))</f>
        <v>#VALUE!</v>
      </c>
    </row>
    <row r="78" spans="1:5" x14ac:dyDescent="0.25">
      <c r="A78" s="58" t="e">
        <f>TIMEVALUE(SUBSTITUTE('Daily CIO'!I79, CHAR(42),""))</f>
        <v>#VALUE!</v>
      </c>
      <c r="B78" s="58" t="e">
        <f>TIMEVALUE(SUBSTITUTE('Daily CIO'!J79, CHAR(42),""))</f>
        <v>#VALUE!</v>
      </c>
      <c r="C78" s="58" t="e">
        <f>TIMEVALUE(SUBSTITUTE('Daily CIO'!K79, CHAR(42),""))</f>
        <v>#VALUE!</v>
      </c>
      <c r="D78" s="58" t="e">
        <f>TIMEVALUE(SUBSTITUTE('Daily CIO'!L79, CHAR(42),""))</f>
        <v>#VALUE!</v>
      </c>
      <c r="E78" s="58" t="e">
        <f>TIMEVALUE(SUBSTITUTE('Daily CIO'!M79, CHAR(42),""))</f>
        <v>#VALUE!</v>
      </c>
    </row>
    <row r="79" spans="1:5" x14ac:dyDescent="0.25">
      <c r="A79" s="58" t="e">
        <f>TIMEVALUE(SUBSTITUTE('Daily CIO'!I80, CHAR(42),""))</f>
        <v>#VALUE!</v>
      </c>
      <c r="B79" s="58" t="e">
        <f>TIMEVALUE(SUBSTITUTE('Daily CIO'!J80, CHAR(42),""))</f>
        <v>#VALUE!</v>
      </c>
      <c r="C79" s="58" t="e">
        <f>TIMEVALUE(SUBSTITUTE('Daily CIO'!K80, CHAR(42),""))</f>
        <v>#VALUE!</v>
      </c>
      <c r="D79" s="58" t="e">
        <f>TIMEVALUE(SUBSTITUTE('Daily CIO'!L80, CHAR(42),""))</f>
        <v>#VALUE!</v>
      </c>
      <c r="E79" s="58" t="e">
        <f>TIMEVALUE(SUBSTITUTE('Daily CIO'!M80, CHAR(42),""))</f>
        <v>#VALUE!</v>
      </c>
    </row>
    <row r="80" spans="1:5" x14ac:dyDescent="0.25">
      <c r="A80" s="58" t="e">
        <f>TIMEVALUE(SUBSTITUTE('Daily CIO'!I81, CHAR(42),""))</f>
        <v>#VALUE!</v>
      </c>
      <c r="B80" s="58" t="e">
        <f>TIMEVALUE(SUBSTITUTE('Daily CIO'!J81, CHAR(42),""))</f>
        <v>#VALUE!</v>
      </c>
      <c r="C80" s="58" t="e">
        <f>TIMEVALUE(SUBSTITUTE('Daily CIO'!K81, CHAR(42),""))</f>
        <v>#VALUE!</v>
      </c>
      <c r="D80" s="58" t="e">
        <f>TIMEVALUE(SUBSTITUTE('Daily CIO'!L81, CHAR(42),""))</f>
        <v>#VALUE!</v>
      </c>
      <c r="E80" s="58" t="e">
        <f>TIMEVALUE(SUBSTITUTE('Daily CIO'!M81, CHAR(42),""))</f>
        <v>#VALUE!</v>
      </c>
    </row>
    <row r="81" spans="1:5" x14ac:dyDescent="0.25">
      <c r="A81" s="58" t="e">
        <f>TIMEVALUE(SUBSTITUTE('Daily CIO'!I82, CHAR(42),""))</f>
        <v>#VALUE!</v>
      </c>
      <c r="B81" s="58" t="e">
        <f>TIMEVALUE(SUBSTITUTE('Daily CIO'!J82, CHAR(42),""))</f>
        <v>#VALUE!</v>
      </c>
      <c r="C81" s="58" t="e">
        <f>TIMEVALUE(SUBSTITUTE('Daily CIO'!K82, CHAR(42),""))</f>
        <v>#VALUE!</v>
      </c>
      <c r="D81" s="58" t="e">
        <f>TIMEVALUE(SUBSTITUTE('Daily CIO'!L82, CHAR(42),""))</f>
        <v>#VALUE!</v>
      </c>
      <c r="E81" s="58" t="e">
        <f>TIMEVALUE(SUBSTITUTE('Daily CIO'!M82, CHAR(42),""))</f>
        <v>#VALUE!</v>
      </c>
    </row>
    <row r="82" spans="1:5" x14ac:dyDescent="0.25">
      <c r="A82" s="58" t="e">
        <f>TIMEVALUE(SUBSTITUTE('Daily CIO'!I83, CHAR(42),""))</f>
        <v>#VALUE!</v>
      </c>
      <c r="B82" s="58" t="e">
        <f>TIMEVALUE(SUBSTITUTE('Daily CIO'!J83, CHAR(42),""))</f>
        <v>#VALUE!</v>
      </c>
      <c r="C82" s="58" t="e">
        <f>TIMEVALUE(SUBSTITUTE('Daily CIO'!K83, CHAR(42),""))</f>
        <v>#VALUE!</v>
      </c>
      <c r="D82" s="58" t="e">
        <f>TIMEVALUE(SUBSTITUTE('Daily CIO'!L83, CHAR(42),""))</f>
        <v>#VALUE!</v>
      </c>
      <c r="E82" s="58" t="e">
        <f>TIMEVALUE(SUBSTITUTE('Daily CIO'!M83, CHAR(42),""))</f>
        <v>#VALUE!</v>
      </c>
    </row>
    <row r="83" spans="1:5" x14ac:dyDescent="0.25">
      <c r="A83" s="58" t="e">
        <f>TIMEVALUE(SUBSTITUTE('Daily CIO'!I84, CHAR(42),""))</f>
        <v>#VALUE!</v>
      </c>
      <c r="B83" s="58" t="e">
        <f>TIMEVALUE(SUBSTITUTE('Daily CIO'!J84, CHAR(42),""))</f>
        <v>#VALUE!</v>
      </c>
      <c r="C83" s="58" t="e">
        <f>TIMEVALUE(SUBSTITUTE('Daily CIO'!K84, CHAR(42),""))</f>
        <v>#VALUE!</v>
      </c>
      <c r="D83" s="58" t="e">
        <f>TIMEVALUE(SUBSTITUTE('Daily CIO'!L84, CHAR(42),""))</f>
        <v>#VALUE!</v>
      </c>
      <c r="E83" s="58" t="e">
        <f>TIMEVALUE(SUBSTITUTE('Daily CIO'!M84, CHAR(42),""))</f>
        <v>#VALUE!</v>
      </c>
    </row>
    <row r="84" spans="1:5" x14ac:dyDescent="0.25">
      <c r="A84" s="58" t="e">
        <f>TIMEVALUE(SUBSTITUTE('Daily CIO'!I85, CHAR(42),""))</f>
        <v>#VALUE!</v>
      </c>
      <c r="B84" s="58" t="e">
        <f>TIMEVALUE(SUBSTITUTE('Daily CIO'!J85, CHAR(42),""))</f>
        <v>#VALUE!</v>
      </c>
      <c r="C84" s="58" t="e">
        <f>TIMEVALUE(SUBSTITUTE('Daily CIO'!K85, CHAR(42),""))</f>
        <v>#VALUE!</v>
      </c>
      <c r="D84" s="58" t="e">
        <f>TIMEVALUE(SUBSTITUTE('Daily CIO'!L85, CHAR(42),""))</f>
        <v>#VALUE!</v>
      </c>
      <c r="E84" s="58" t="e">
        <f>TIMEVALUE(SUBSTITUTE('Daily CIO'!M85, CHAR(42),""))</f>
        <v>#VALUE!</v>
      </c>
    </row>
    <row r="85" spans="1:5" x14ac:dyDescent="0.25">
      <c r="A85" s="58" t="e">
        <f>TIMEVALUE(SUBSTITUTE('Daily CIO'!I86, CHAR(42),""))</f>
        <v>#VALUE!</v>
      </c>
      <c r="B85" s="58" t="e">
        <f>TIMEVALUE(SUBSTITUTE('Daily CIO'!J86, CHAR(42),""))</f>
        <v>#VALUE!</v>
      </c>
      <c r="C85" s="58" t="e">
        <f>TIMEVALUE(SUBSTITUTE('Daily CIO'!K86, CHAR(42),""))</f>
        <v>#VALUE!</v>
      </c>
      <c r="D85" s="58" t="e">
        <f>TIMEVALUE(SUBSTITUTE('Daily CIO'!L86, CHAR(42),""))</f>
        <v>#VALUE!</v>
      </c>
      <c r="E85" s="58" t="e">
        <f>TIMEVALUE(SUBSTITUTE('Daily CIO'!M86, CHAR(42),""))</f>
        <v>#VALUE!</v>
      </c>
    </row>
    <row r="86" spans="1:5" x14ac:dyDescent="0.25">
      <c r="A86" s="58" t="e">
        <f>TIMEVALUE(SUBSTITUTE('Daily CIO'!I87, CHAR(42),""))</f>
        <v>#VALUE!</v>
      </c>
      <c r="B86" s="58" t="e">
        <f>TIMEVALUE(SUBSTITUTE('Daily CIO'!J87, CHAR(42),""))</f>
        <v>#VALUE!</v>
      </c>
      <c r="C86" s="58" t="e">
        <f>TIMEVALUE(SUBSTITUTE('Daily CIO'!K87, CHAR(42),""))</f>
        <v>#VALUE!</v>
      </c>
      <c r="D86" s="58" t="e">
        <f>TIMEVALUE(SUBSTITUTE('Daily CIO'!L87, CHAR(42),""))</f>
        <v>#VALUE!</v>
      </c>
      <c r="E86" s="58" t="e">
        <f>TIMEVALUE(SUBSTITUTE('Daily CIO'!M87, CHAR(42),""))</f>
        <v>#VALUE!</v>
      </c>
    </row>
    <row r="87" spans="1:5" x14ac:dyDescent="0.25">
      <c r="A87" s="58" t="e">
        <f>TIMEVALUE(SUBSTITUTE('Daily CIO'!I88, CHAR(42),""))</f>
        <v>#VALUE!</v>
      </c>
      <c r="B87" s="58" t="e">
        <f>TIMEVALUE(SUBSTITUTE('Daily CIO'!J88, CHAR(42),""))</f>
        <v>#VALUE!</v>
      </c>
      <c r="C87" s="58" t="e">
        <f>TIMEVALUE(SUBSTITUTE('Daily CIO'!K88, CHAR(42),""))</f>
        <v>#VALUE!</v>
      </c>
      <c r="D87" s="58" t="e">
        <f>TIMEVALUE(SUBSTITUTE('Daily CIO'!L88, CHAR(42),""))</f>
        <v>#VALUE!</v>
      </c>
      <c r="E87" s="58" t="e">
        <f>TIMEVALUE(SUBSTITUTE('Daily CIO'!M88, CHAR(42),""))</f>
        <v>#VALUE!</v>
      </c>
    </row>
    <row r="88" spans="1:5" x14ac:dyDescent="0.25">
      <c r="A88" s="58" t="e">
        <f>TIMEVALUE(SUBSTITUTE('Daily CIO'!I89, CHAR(42),""))</f>
        <v>#VALUE!</v>
      </c>
      <c r="B88" s="58" t="e">
        <f>TIMEVALUE(SUBSTITUTE('Daily CIO'!J89, CHAR(42),""))</f>
        <v>#VALUE!</v>
      </c>
      <c r="C88" s="58" t="e">
        <f>TIMEVALUE(SUBSTITUTE('Daily CIO'!K89, CHAR(42),""))</f>
        <v>#VALUE!</v>
      </c>
      <c r="D88" s="58" t="e">
        <f>TIMEVALUE(SUBSTITUTE('Daily CIO'!L89, CHAR(42),""))</f>
        <v>#VALUE!</v>
      </c>
      <c r="E88" s="58" t="e">
        <f>TIMEVALUE(SUBSTITUTE('Daily CIO'!M89, CHAR(42),""))</f>
        <v>#VALUE!</v>
      </c>
    </row>
    <row r="89" spans="1:5" x14ac:dyDescent="0.25">
      <c r="A89" s="58" t="e">
        <f>TIMEVALUE(SUBSTITUTE('Daily CIO'!I90, CHAR(42),""))</f>
        <v>#VALUE!</v>
      </c>
      <c r="B89" s="58" t="e">
        <f>TIMEVALUE(SUBSTITUTE('Daily CIO'!J90, CHAR(42),""))</f>
        <v>#VALUE!</v>
      </c>
      <c r="C89" s="58" t="e">
        <f>TIMEVALUE(SUBSTITUTE('Daily CIO'!K90, CHAR(42),""))</f>
        <v>#VALUE!</v>
      </c>
      <c r="D89" s="58" t="e">
        <f>TIMEVALUE(SUBSTITUTE('Daily CIO'!L90, CHAR(42),""))</f>
        <v>#VALUE!</v>
      </c>
      <c r="E89" s="58" t="e">
        <f>TIMEVALUE(SUBSTITUTE('Daily CIO'!M90, CHAR(42),""))</f>
        <v>#VALUE!</v>
      </c>
    </row>
    <row r="90" spans="1:5" x14ac:dyDescent="0.25">
      <c r="A90" s="58" t="e">
        <f>TIMEVALUE(SUBSTITUTE('Daily CIO'!I91, CHAR(42),""))</f>
        <v>#VALUE!</v>
      </c>
      <c r="B90" s="58" t="e">
        <f>TIMEVALUE(SUBSTITUTE('Daily CIO'!J91, CHAR(42),""))</f>
        <v>#VALUE!</v>
      </c>
      <c r="C90" s="58" t="e">
        <f>TIMEVALUE(SUBSTITUTE('Daily CIO'!K91, CHAR(42),""))</f>
        <v>#VALUE!</v>
      </c>
      <c r="D90" s="58" t="e">
        <f>TIMEVALUE(SUBSTITUTE('Daily CIO'!L91, CHAR(42),""))</f>
        <v>#VALUE!</v>
      </c>
      <c r="E90" s="58" t="e">
        <f>TIMEVALUE(SUBSTITUTE('Daily CIO'!M91, CHAR(42),""))</f>
        <v>#VALUE!</v>
      </c>
    </row>
    <row r="91" spans="1:5" x14ac:dyDescent="0.25">
      <c r="A91" s="58" t="e">
        <f>TIMEVALUE(SUBSTITUTE('Daily CIO'!I92, CHAR(42),""))</f>
        <v>#VALUE!</v>
      </c>
      <c r="B91" s="58" t="e">
        <f>TIMEVALUE(SUBSTITUTE('Daily CIO'!J92, CHAR(42),""))</f>
        <v>#VALUE!</v>
      </c>
      <c r="C91" s="58" t="e">
        <f>TIMEVALUE(SUBSTITUTE('Daily CIO'!K92, CHAR(42),""))</f>
        <v>#VALUE!</v>
      </c>
      <c r="D91" s="58" t="e">
        <f>TIMEVALUE(SUBSTITUTE('Daily CIO'!L92, CHAR(42),""))</f>
        <v>#VALUE!</v>
      </c>
      <c r="E91" s="58" t="e">
        <f>TIMEVALUE(SUBSTITUTE('Daily CIO'!M92, CHAR(42),""))</f>
        <v>#VALUE!</v>
      </c>
    </row>
    <row r="92" spans="1:5" x14ac:dyDescent="0.25">
      <c r="A92" s="58" t="e">
        <f>TIMEVALUE(SUBSTITUTE('Daily CIO'!I93, CHAR(42),""))</f>
        <v>#VALUE!</v>
      </c>
      <c r="B92" s="58" t="e">
        <f>TIMEVALUE(SUBSTITUTE('Daily CIO'!J93, CHAR(42),""))</f>
        <v>#VALUE!</v>
      </c>
      <c r="C92" s="58" t="e">
        <f>TIMEVALUE(SUBSTITUTE('Daily CIO'!K93, CHAR(42),""))</f>
        <v>#VALUE!</v>
      </c>
      <c r="D92" s="58" t="e">
        <f>TIMEVALUE(SUBSTITUTE('Daily CIO'!L93, CHAR(42),""))</f>
        <v>#VALUE!</v>
      </c>
      <c r="E92" s="58" t="e">
        <f>TIMEVALUE(SUBSTITUTE('Daily CIO'!M93, CHAR(42),""))</f>
        <v>#VALUE!</v>
      </c>
    </row>
    <row r="93" spans="1:5" x14ac:dyDescent="0.25">
      <c r="A93" s="58" t="e">
        <f>TIMEVALUE(SUBSTITUTE('Daily CIO'!I94, CHAR(42),""))</f>
        <v>#VALUE!</v>
      </c>
      <c r="B93" s="58" t="e">
        <f>TIMEVALUE(SUBSTITUTE('Daily CIO'!J94, CHAR(42),""))</f>
        <v>#VALUE!</v>
      </c>
      <c r="C93" s="58" t="e">
        <f>TIMEVALUE(SUBSTITUTE('Daily CIO'!K94, CHAR(42),""))</f>
        <v>#VALUE!</v>
      </c>
      <c r="D93" s="58" t="e">
        <f>TIMEVALUE(SUBSTITUTE('Daily CIO'!L94, CHAR(42),""))</f>
        <v>#VALUE!</v>
      </c>
      <c r="E93" s="58" t="e">
        <f>TIMEVALUE(SUBSTITUTE('Daily CIO'!M94, CHAR(42),""))</f>
        <v>#VALUE!</v>
      </c>
    </row>
    <row r="94" spans="1:5" x14ac:dyDescent="0.25">
      <c r="A94" s="58" t="e">
        <f>TIMEVALUE(SUBSTITUTE('Daily CIO'!I95, CHAR(42),""))</f>
        <v>#VALUE!</v>
      </c>
      <c r="B94" s="58" t="e">
        <f>TIMEVALUE(SUBSTITUTE('Daily CIO'!J95, CHAR(42),""))</f>
        <v>#VALUE!</v>
      </c>
      <c r="C94" s="58" t="e">
        <f>TIMEVALUE(SUBSTITUTE('Daily CIO'!K95, CHAR(42),""))</f>
        <v>#VALUE!</v>
      </c>
      <c r="D94" s="58" t="e">
        <f>TIMEVALUE(SUBSTITUTE('Daily CIO'!L95, CHAR(42),""))</f>
        <v>#VALUE!</v>
      </c>
      <c r="E94" s="58" t="e">
        <f>TIMEVALUE(SUBSTITUTE('Daily CIO'!M95, CHAR(42),""))</f>
        <v>#VALUE!</v>
      </c>
    </row>
    <row r="95" spans="1:5" x14ac:dyDescent="0.25">
      <c r="A95" s="58">
        <f>TIMEVALUE(SUBSTITUTE('Daily CIO'!I96, CHAR(42),""))</f>
        <v>0.36388888888888887</v>
      </c>
      <c r="B95" s="58" t="e">
        <f>TIMEVALUE(SUBSTITUTE('Daily CIO'!J96, CHAR(42),""))</f>
        <v>#VALUE!</v>
      </c>
      <c r="C95" s="58" t="e">
        <f>TIMEVALUE(SUBSTITUTE('Daily CIO'!K96, CHAR(42),""))</f>
        <v>#VALUE!</v>
      </c>
      <c r="D95" s="58" t="e">
        <f>TIMEVALUE(SUBSTITUTE('Daily CIO'!L96, CHAR(42),""))</f>
        <v>#VALUE!</v>
      </c>
      <c r="E95" s="58" t="e">
        <f>TIMEVALUE(SUBSTITUTE('Daily CIO'!M96, CHAR(42),""))</f>
        <v>#VALUE!</v>
      </c>
    </row>
    <row r="96" spans="1:5" x14ac:dyDescent="0.25">
      <c r="A96" s="58" t="e">
        <f>TIMEVALUE(SUBSTITUTE('Daily CIO'!I97, CHAR(42),""))</f>
        <v>#VALUE!</v>
      </c>
      <c r="B96" s="58" t="e">
        <f>TIMEVALUE(SUBSTITUTE('Daily CIO'!J97, CHAR(42),""))</f>
        <v>#VALUE!</v>
      </c>
      <c r="C96" s="58" t="e">
        <f>TIMEVALUE(SUBSTITUTE('Daily CIO'!K97, CHAR(42),""))</f>
        <v>#VALUE!</v>
      </c>
      <c r="D96" s="58" t="e">
        <f>TIMEVALUE(SUBSTITUTE('Daily CIO'!L97, CHAR(42),""))</f>
        <v>#VALUE!</v>
      </c>
      <c r="E96" s="58" t="e">
        <f>TIMEVALUE(SUBSTITUTE('Daily CIO'!M97, CHAR(42),""))</f>
        <v>#VALUE!</v>
      </c>
    </row>
    <row r="97" spans="1:5" x14ac:dyDescent="0.25">
      <c r="A97" s="58" t="e">
        <f>TIMEVALUE(SUBSTITUTE('Daily CIO'!I98, CHAR(42),""))</f>
        <v>#VALUE!</v>
      </c>
      <c r="B97" s="58" t="e">
        <f>TIMEVALUE(SUBSTITUTE('Daily CIO'!J98, CHAR(42),""))</f>
        <v>#VALUE!</v>
      </c>
      <c r="C97" s="58" t="e">
        <f>TIMEVALUE(SUBSTITUTE('Daily CIO'!K98, CHAR(42),""))</f>
        <v>#VALUE!</v>
      </c>
      <c r="D97" s="58" t="e">
        <f>TIMEVALUE(SUBSTITUTE('Daily CIO'!L98, CHAR(42),""))</f>
        <v>#VALUE!</v>
      </c>
      <c r="E97" s="58" t="e">
        <f>TIMEVALUE(SUBSTITUTE('Daily CIO'!M98, CHAR(42),""))</f>
        <v>#VALUE!</v>
      </c>
    </row>
    <row r="98" spans="1:5" x14ac:dyDescent="0.25">
      <c r="A98" s="58" t="e">
        <f>TIMEVALUE(SUBSTITUTE('Daily CIO'!I99, CHAR(42),""))</f>
        <v>#VALUE!</v>
      </c>
      <c r="B98" s="58" t="e">
        <f>TIMEVALUE(SUBSTITUTE('Daily CIO'!J99, CHAR(42),""))</f>
        <v>#VALUE!</v>
      </c>
      <c r="C98" s="58" t="e">
        <f>TIMEVALUE(SUBSTITUTE('Daily CIO'!K99, CHAR(42),""))</f>
        <v>#VALUE!</v>
      </c>
      <c r="D98" s="58" t="e">
        <f>TIMEVALUE(SUBSTITUTE('Daily CIO'!L99, CHAR(42),""))</f>
        <v>#VALUE!</v>
      </c>
      <c r="E98" s="58" t="e">
        <f>TIMEVALUE(SUBSTITUTE('Daily CIO'!M99, CHAR(42),""))</f>
        <v>#VALUE!</v>
      </c>
    </row>
    <row r="99" spans="1:5" x14ac:dyDescent="0.25">
      <c r="A99" s="58" t="e">
        <f>TIMEVALUE(SUBSTITUTE('Daily CIO'!I100, CHAR(42),""))</f>
        <v>#VALUE!</v>
      </c>
      <c r="B99" s="58" t="e">
        <f>TIMEVALUE(SUBSTITUTE('Daily CIO'!J100, CHAR(42),""))</f>
        <v>#VALUE!</v>
      </c>
      <c r="C99" s="58" t="e">
        <f>TIMEVALUE(SUBSTITUTE('Daily CIO'!K100, CHAR(42),""))</f>
        <v>#VALUE!</v>
      </c>
      <c r="D99" s="58" t="e">
        <f>TIMEVALUE(SUBSTITUTE('Daily CIO'!L100, CHAR(42),""))</f>
        <v>#VALUE!</v>
      </c>
      <c r="E99" s="58" t="e">
        <f>TIMEVALUE(SUBSTITUTE('Daily CIO'!M100, CHAR(42),""))</f>
        <v>#VALUE!</v>
      </c>
    </row>
    <row r="100" spans="1:5" x14ac:dyDescent="0.25">
      <c r="A100" s="58" t="e">
        <f>TIMEVALUE(SUBSTITUTE('Daily CIO'!I101, CHAR(42),""))</f>
        <v>#VALUE!</v>
      </c>
      <c r="B100" s="58" t="e">
        <f>TIMEVALUE(SUBSTITUTE('Daily CIO'!J101, CHAR(42),""))</f>
        <v>#VALUE!</v>
      </c>
      <c r="C100" s="58" t="e">
        <f>TIMEVALUE(SUBSTITUTE('Daily CIO'!K101, CHAR(42),""))</f>
        <v>#VALUE!</v>
      </c>
      <c r="D100" s="58" t="e">
        <f>TIMEVALUE(SUBSTITUTE('Daily CIO'!L101, CHAR(42),""))</f>
        <v>#VALUE!</v>
      </c>
      <c r="E100" s="58" t="e">
        <f>TIMEVALUE(SUBSTITUTE('Daily CIO'!M101, CHAR(42),""))</f>
        <v>#VALUE!</v>
      </c>
    </row>
    <row r="101" spans="1:5" x14ac:dyDescent="0.25">
      <c r="A101" s="58" t="e">
        <f>TIMEVALUE(SUBSTITUTE('Daily CIO'!I102, CHAR(42),""))</f>
        <v>#VALUE!</v>
      </c>
      <c r="B101" s="58" t="e">
        <f>TIMEVALUE(SUBSTITUTE('Daily CIO'!J102, CHAR(42),""))</f>
        <v>#VALUE!</v>
      </c>
      <c r="C101" s="58" t="e">
        <f>TIMEVALUE(SUBSTITUTE('Daily CIO'!K102, CHAR(42),""))</f>
        <v>#VALUE!</v>
      </c>
      <c r="D101" s="58" t="e">
        <f>TIMEVALUE(SUBSTITUTE('Daily CIO'!L102, CHAR(42),""))</f>
        <v>#VALUE!</v>
      </c>
      <c r="E101" s="58" t="e">
        <f>TIMEVALUE(SUBSTITUTE('Daily CIO'!M102, CHAR(42),""))</f>
        <v>#VALUE!</v>
      </c>
    </row>
    <row r="102" spans="1:5" x14ac:dyDescent="0.25">
      <c r="A102" s="58" t="e">
        <f>TIMEVALUE(SUBSTITUTE('Daily CIO'!I103, CHAR(42),""))</f>
        <v>#VALUE!</v>
      </c>
      <c r="B102" s="58" t="e">
        <f>TIMEVALUE(SUBSTITUTE('Daily CIO'!J103, CHAR(42),""))</f>
        <v>#VALUE!</v>
      </c>
      <c r="C102" s="58" t="e">
        <f>TIMEVALUE(SUBSTITUTE('Daily CIO'!K103, CHAR(42),""))</f>
        <v>#VALUE!</v>
      </c>
      <c r="D102" s="58" t="e">
        <f>TIMEVALUE(SUBSTITUTE('Daily CIO'!L103, CHAR(42),""))</f>
        <v>#VALUE!</v>
      </c>
      <c r="E102" s="58" t="e">
        <f>TIMEVALUE(SUBSTITUTE('Daily CIO'!M103, CHAR(42),""))</f>
        <v>#VALUE!</v>
      </c>
    </row>
    <row r="103" spans="1:5" x14ac:dyDescent="0.25">
      <c r="A103" s="58" t="e">
        <f>TIMEVALUE(SUBSTITUTE('Daily CIO'!I104, CHAR(42),""))</f>
        <v>#VALUE!</v>
      </c>
      <c r="B103" s="58" t="e">
        <f>TIMEVALUE(SUBSTITUTE('Daily CIO'!J104, CHAR(42),""))</f>
        <v>#VALUE!</v>
      </c>
      <c r="C103" s="58" t="e">
        <f>TIMEVALUE(SUBSTITUTE('Daily CIO'!K104, CHAR(42),""))</f>
        <v>#VALUE!</v>
      </c>
      <c r="D103" s="58" t="e">
        <f>TIMEVALUE(SUBSTITUTE('Daily CIO'!L104, CHAR(42),""))</f>
        <v>#VALUE!</v>
      </c>
      <c r="E103" s="58" t="e">
        <f>TIMEVALUE(SUBSTITUTE('Daily CIO'!M104, CHAR(42),""))</f>
        <v>#VALUE!</v>
      </c>
    </row>
    <row r="104" spans="1:5" x14ac:dyDescent="0.25">
      <c r="A104" s="58" t="e">
        <f>TIMEVALUE(SUBSTITUTE('Daily CIO'!I105, CHAR(42),""))</f>
        <v>#VALUE!</v>
      </c>
      <c r="B104" s="58" t="e">
        <f>TIMEVALUE(SUBSTITUTE('Daily CIO'!J105, CHAR(42),""))</f>
        <v>#VALUE!</v>
      </c>
      <c r="C104" s="58" t="e">
        <f>TIMEVALUE(SUBSTITUTE('Daily CIO'!K105, CHAR(42),""))</f>
        <v>#VALUE!</v>
      </c>
      <c r="D104" s="58" t="e">
        <f>TIMEVALUE(SUBSTITUTE('Daily CIO'!L105, CHAR(42),""))</f>
        <v>#VALUE!</v>
      </c>
      <c r="E104" s="58" t="e">
        <f>TIMEVALUE(SUBSTITUTE('Daily CIO'!M105, CHAR(42),""))</f>
        <v>#VALUE!</v>
      </c>
    </row>
    <row r="105" spans="1:5" x14ac:dyDescent="0.25">
      <c r="A105" s="58" t="e">
        <f>TIMEVALUE(SUBSTITUTE('Daily CIO'!I106, CHAR(42),""))</f>
        <v>#VALUE!</v>
      </c>
      <c r="B105" s="58" t="e">
        <f>TIMEVALUE(SUBSTITUTE('Daily CIO'!J106, CHAR(42),""))</f>
        <v>#VALUE!</v>
      </c>
      <c r="C105" s="58" t="e">
        <f>TIMEVALUE(SUBSTITUTE('Daily CIO'!K106, CHAR(42),""))</f>
        <v>#VALUE!</v>
      </c>
      <c r="D105" s="58" t="e">
        <f>TIMEVALUE(SUBSTITUTE('Daily CIO'!L106, CHAR(42),""))</f>
        <v>#VALUE!</v>
      </c>
      <c r="E105" s="58" t="e">
        <f>TIMEVALUE(SUBSTITUTE('Daily CIO'!M106, CHAR(42),""))</f>
        <v>#VALUE!</v>
      </c>
    </row>
    <row r="106" spans="1:5" x14ac:dyDescent="0.25">
      <c r="A106" s="58" t="e">
        <f>TIMEVALUE(SUBSTITUTE('Daily CIO'!I107, CHAR(42),""))</f>
        <v>#VALUE!</v>
      </c>
      <c r="B106" s="58" t="e">
        <f>TIMEVALUE(SUBSTITUTE('Daily CIO'!J107, CHAR(42),""))</f>
        <v>#VALUE!</v>
      </c>
      <c r="C106" s="58" t="e">
        <f>TIMEVALUE(SUBSTITUTE('Daily CIO'!K107, CHAR(42),""))</f>
        <v>#VALUE!</v>
      </c>
      <c r="D106" s="58" t="e">
        <f>TIMEVALUE(SUBSTITUTE('Daily CIO'!L107, CHAR(42),""))</f>
        <v>#VALUE!</v>
      </c>
      <c r="E106" s="58" t="e">
        <f>TIMEVALUE(SUBSTITUTE('Daily CIO'!M107, CHAR(42),""))</f>
        <v>#VALUE!</v>
      </c>
    </row>
    <row r="107" spans="1:5" x14ac:dyDescent="0.25">
      <c r="A107" s="58" t="e">
        <f>TIMEVALUE(SUBSTITUTE('Daily CIO'!#REF!, CHAR(42),""))</f>
        <v>#REF!</v>
      </c>
      <c r="B107" s="58" t="e">
        <f>TIMEVALUE(SUBSTITUTE('Daily CIO'!#REF!, CHAR(42),""))</f>
        <v>#REF!</v>
      </c>
      <c r="C107" s="58" t="e">
        <f>TIMEVALUE(SUBSTITUTE('Daily CIO'!#REF!, CHAR(42),""))</f>
        <v>#REF!</v>
      </c>
      <c r="D107" s="58" t="e">
        <f>TIMEVALUE(SUBSTITUTE('Daily CIO'!#REF!, CHAR(42),""))</f>
        <v>#REF!</v>
      </c>
      <c r="E107" s="58" t="e">
        <f>TIMEVALUE(SUBSTITUTE('Daily CIO'!M108, CHAR(42),""))</f>
        <v>#VALUE!</v>
      </c>
    </row>
    <row r="108" spans="1:5" x14ac:dyDescent="0.25">
      <c r="A108" s="58" t="e">
        <f>TIMEVALUE(SUBSTITUTE('Daily CIO'!I108, CHAR(42),""))</f>
        <v>#VALUE!</v>
      </c>
      <c r="B108" s="58" t="e">
        <f>TIMEVALUE(SUBSTITUTE('Daily CIO'!J108, CHAR(42),""))</f>
        <v>#VALUE!</v>
      </c>
      <c r="C108" s="58" t="e">
        <f>TIMEVALUE(SUBSTITUTE('Daily CIO'!K108, CHAR(42),""))</f>
        <v>#VALUE!</v>
      </c>
      <c r="D108" s="58" t="e">
        <f>TIMEVALUE(SUBSTITUTE('Daily CIO'!L108, CHAR(42),""))</f>
        <v>#VALUE!</v>
      </c>
      <c r="E108" s="58" t="e">
        <f>TIMEVALUE(SUBSTITUTE('Daily CIO'!M109, CHAR(42),""))</f>
        <v>#VALUE!</v>
      </c>
    </row>
    <row r="109" spans="1:5" x14ac:dyDescent="0.25">
      <c r="A109" s="58" t="e">
        <f>TIMEVALUE(SUBSTITUTE('Daily CIO'!I109, CHAR(42),""))</f>
        <v>#VALUE!</v>
      </c>
      <c r="B109" s="58" t="e">
        <f>TIMEVALUE(SUBSTITUTE('Daily CIO'!J109, CHAR(42),""))</f>
        <v>#VALUE!</v>
      </c>
      <c r="C109" s="58" t="e">
        <f>TIMEVALUE(SUBSTITUTE('Daily CIO'!K109, CHAR(42),""))</f>
        <v>#VALUE!</v>
      </c>
      <c r="D109" s="58" t="e">
        <f>TIMEVALUE(SUBSTITUTE('Daily CIO'!L109, CHAR(42),""))</f>
        <v>#VALUE!</v>
      </c>
      <c r="E109" s="58" t="e">
        <f>TIMEVALUE(SUBSTITUTE('Daily CIO'!M110, CHAR(42),""))</f>
        <v>#VALUE!</v>
      </c>
    </row>
    <row r="110" spans="1:5" x14ac:dyDescent="0.25">
      <c r="A110" s="58" t="e">
        <f>TIMEVALUE(SUBSTITUTE('Daily CIO'!I110, CHAR(42),""))</f>
        <v>#VALUE!</v>
      </c>
      <c r="B110" s="58" t="e">
        <f>TIMEVALUE(SUBSTITUTE('Daily CIO'!J110, CHAR(42),""))</f>
        <v>#VALUE!</v>
      </c>
      <c r="C110" s="58" t="e">
        <f>TIMEVALUE(SUBSTITUTE('Daily CIO'!K110, CHAR(42),""))</f>
        <v>#VALUE!</v>
      </c>
      <c r="D110" s="58" t="e">
        <f>TIMEVALUE(SUBSTITUTE('Daily CIO'!L110, CHAR(42),""))</f>
        <v>#VALUE!</v>
      </c>
      <c r="E110" s="58" t="e">
        <f>TIMEVALUE(SUBSTITUTE('Daily CIO'!M111, CHAR(42),""))</f>
        <v>#VALUE!</v>
      </c>
    </row>
    <row r="111" spans="1:5" x14ac:dyDescent="0.25">
      <c r="A111" s="58" t="e">
        <f>TIMEVALUE(SUBSTITUTE('Daily CIO'!I111, CHAR(42),""))</f>
        <v>#VALUE!</v>
      </c>
      <c r="B111" s="58" t="e">
        <f>TIMEVALUE(SUBSTITUTE('Daily CIO'!J111, CHAR(42),""))</f>
        <v>#VALUE!</v>
      </c>
      <c r="C111" s="58" t="e">
        <f>TIMEVALUE(SUBSTITUTE('Daily CIO'!K111, CHAR(42),""))</f>
        <v>#VALUE!</v>
      </c>
      <c r="D111" s="58" t="e">
        <f>TIMEVALUE(SUBSTITUTE('Daily CIO'!L111, CHAR(42),""))</f>
        <v>#VALUE!</v>
      </c>
      <c r="E111" s="58" t="e">
        <f>TIMEVALUE(SUBSTITUTE('Daily CIO'!M112, CHAR(42),""))</f>
        <v>#VALUE!</v>
      </c>
    </row>
    <row r="112" spans="1:5" x14ac:dyDescent="0.25">
      <c r="A112" s="58" t="e">
        <f>TIMEVALUE(SUBSTITUTE('Daily CIO'!I112, CHAR(42),""))</f>
        <v>#VALUE!</v>
      </c>
      <c r="B112" s="58" t="e">
        <f>TIMEVALUE(SUBSTITUTE('Daily CIO'!J112, CHAR(42),""))</f>
        <v>#VALUE!</v>
      </c>
      <c r="C112" s="58" t="e">
        <f>TIMEVALUE(SUBSTITUTE('Daily CIO'!K112, CHAR(42),""))</f>
        <v>#VALUE!</v>
      </c>
      <c r="D112" s="58" t="e">
        <f>TIMEVALUE(SUBSTITUTE('Daily CIO'!L112, CHAR(42),""))</f>
        <v>#VALUE!</v>
      </c>
      <c r="E112" s="58" t="e">
        <f>TIMEVALUE(SUBSTITUTE('Daily CIO'!M113, CHAR(42),""))</f>
        <v>#VALUE!</v>
      </c>
    </row>
    <row r="113" spans="1:5" x14ac:dyDescent="0.25">
      <c r="A113" s="58" t="e">
        <f>TIMEVALUE(SUBSTITUTE('Daily CIO'!I113, CHAR(42),""))</f>
        <v>#VALUE!</v>
      </c>
      <c r="B113" s="58" t="e">
        <f>TIMEVALUE(SUBSTITUTE('Daily CIO'!J113, CHAR(42),""))</f>
        <v>#VALUE!</v>
      </c>
      <c r="C113" s="58" t="e">
        <f>TIMEVALUE(SUBSTITUTE('Daily CIO'!K113, CHAR(42),""))</f>
        <v>#VALUE!</v>
      </c>
      <c r="D113" s="58" t="e">
        <f>TIMEVALUE(SUBSTITUTE('Daily CIO'!L113, CHAR(42),""))</f>
        <v>#VALUE!</v>
      </c>
      <c r="E113" s="58" t="e">
        <f>TIMEVALUE(SUBSTITUTE('Daily CIO'!M114, CHAR(42),""))</f>
        <v>#VALUE!</v>
      </c>
    </row>
    <row r="114" spans="1:5" x14ac:dyDescent="0.25">
      <c r="A114" s="58" t="e">
        <f>TIMEVALUE(SUBSTITUTE('Daily CIO'!I114, CHAR(42),""))</f>
        <v>#VALUE!</v>
      </c>
      <c r="B114" s="58" t="e">
        <f>TIMEVALUE(SUBSTITUTE('Daily CIO'!J114, CHAR(42),""))</f>
        <v>#VALUE!</v>
      </c>
      <c r="C114" s="58" t="e">
        <f>TIMEVALUE(SUBSTITUTE('Daily CIO'!K114, CHAR(42),""))</f>
        <v>#VALUE!</v>
      </c>
      <c r="D114" s="58" t="e">
        <f>TIMEVALUE(SUBSTITUTE('Daily CIO'!L114, CHAR(42),""))</f>
        <v>#VALUE!</v>
      </c>
      <c r="E114" s="58" t="e">
        <f>TIMEVALUE(SUBSTITUTE('Daily CIO'!M115, CHAR(42),""))</f>
        <v>#VALUE!</v>
      </c>
    </row>
    <row r="115" spans="1:5" x14ac:dyDescent="0.25">
      <c r="A115" s="58" t="e">
        <f>TIMEVALUE(SUBSTITUTE('Daily CIO'!I115, CHAR(42),""))</f>
        <v>#VALUE!</v>
      </c>
      <c r="B115" s="58" t="e">
        <f>TIMEVALUE(SUBSTITUTE('Daily CIO'!J115, CHAR(42),""))</f>
        <v>#VALUE!</v>
      </c>
      <c r="C115" s="58" t="e">
        <f>TIMEVALUE(SUBSTITUTE('Daily CIO'!K115, CHAR(42),""))</f>
        <v>#VALUE!</v>
      </c>
      <c r="D115" s="58" t="e">
        <f>TIMEVALUE(SUBSTITUTE('Daily CIO'!L115, CHAR(42),""))</f>
        <v>#VALUE!</v>
      </c>
      <c r="E115" s="58" t="e">
        <f>TIMEVALUE(SUBSTITUTE('Daily CIO'!M116, CHAR(42),""))</f>
        <v>#VALUE!</v>
      </c>
    </row>
    <row r="116" spans="1:5" x14ac:dyDescent="0.25">
      <c r="A116" s="58" t="e">
        <f>TIMEVALUE(SUBSTITUTE('Daily CIO'!I116, CHAR(42),""))</f>
        <v>#VALUE!</v>
      </c>
      <c r="B116" s="58" t="e">
        <f>TIMEVALUE(SUBSTITUTE('Daily CIO'!J116, CHAR(42),""))</f>
        <v>#VALUE!</v>
      </c>
      <c r="C116" s="58" t="e">
        <f>TIMEVALUE(SUBSTITUTE('Daily CIO'!K116, CHAR(42),""))</f>
        <v>#VALUE!</v>
      </c>
      <c r="D116" s="58" t="e">
        <f>TIMEVALUE(SUBSTITUTE('Daily CIO'!L116, CHAR(42),""))</f>
        <v>#VALUE!</v>
      </c>
      <c r="E116" s="58" t="e">
        <f>TIMEVALUE(SUBSTITUTE('Daily CIO'!M117, CHAR(42),""))</f>
        <v>#VALUE!</v>
      </c>
    </row>
    <row r="117" spans="1:5" x14ac:dyDescent="0.25">
      <c r="A117" s="58" t="e">
        <f>TIMEVALUE(SUBSTITUTE('Daily CIO'!I117, CHAR(42),""))</f>
        <v>#VALUE!</v>
      </c>
      <c r="B117" s="58" t="e">
        <f>TIMEVALUE(SUBSTITUTE('Daily CIO'!J117, CHAR(42),""))</f>
        <v>#VALUE!</v>
      </c>
      <c r="C117" s="58" t="e">
        <f>TIMEVALUE(SUBSTITUTE('Daily CIO'!K117, CHAR(42),""))</f>
        <v>#VALUE!</v>
      </c>
      <c r="D117" s="58" t="e">
        <f>TIMEVALUE(SUBSTITUTE('Daily CIO'!L117, CHAR(42),""))</f>
        <v>#VALUE!</v>
      </c>
      <c r="E117" s="58" t="e">
        <f>TIMEVALUE(SUBSTITUTE('Daily CIO'!M118, CHAR(42),""))</f>
        <v>#VALUE!</v>
      </c>
    </row>
    <row r="118" spans="1:5" x14ac:dyDescent="0.25">
      <c r="A118" s="58" t="e">
        <f>TIMEVALUE(SUBSTITUTE('Daily CIO'!I118, CHAR(42),""))</f>
        <v>#VALUE!</v>
      </c>
      <c r="B118" s="58" t="e">
        <f>TIMEVALUE(SUBSTITUTE('Daily CIO'!J118, CHAR(42),""))</f>
        <v>#VALUE!</v>
      </c>
      <c r="C118" s="58" t="e">
        <f>TIMEVALUE(SUBSTITUTE('Daily CIO'!K118, CHAR(42),""))</f>
        <v>#VALUE!</v>
      </c>
      <c r="D118" s="58" t="e">
        <f>TIMEVALUE(SUBSTITUTE('Daily CIO'!L118, CHAR(42),""))</f>
        <v>#VALUE!</v>
      </c>
      <c r="E118" s="58" t="e">
        <f>TIMEVALUE(SUBSTITUTE('Daily CIO'!#REF!, CHAR(42),""))</f>
        <v>#REF!</v>
      </c>
    </row>
    <row r="119" spans="1:5" x14ac:dyDescent="0.25">
      <c r="A119" s="58" t="e">
        <f>TIMEVALUE(SUBSTITUTE('Daily CIO'!#REF!, CHAR(42),""))</f>
        <v>#REF!</v>
      </c>
      <c r="B119" s="58" t="e">
        <f>TIMEVALUE(SUBSTITUTE('Daily CIO'!#REF!, CHAR(42),""))</f>
        <v>#REF!</v>
      </c>
      <c r="C119" s="58" t="e">
        <f>TIMEVALUE(SUBSTITUTE('Daily CIO'!#REF!, CHAR(42),""))</f>
        <v>#REF!</v>
      </c>
      <c r="D119" s="58" t="e">
        <f>TIMEVALUE(SUBSTITUTE('Daily CIO'!#REF!, CHAR(42),""))</f>
        <v>#REF!</v>
      </c>
      <c r="E119" s="58" t="e">
        <f>TIMEVALUE(SUBSTITUTE('Daily CIO'!M119, CHAR(42),""))</f>
        <v>#VALUE!</v>
      </c>
    </row>
    <row r="120" spans="1:5" x14ac:dyDescent="0.25">
      <c r="A120" s="58" t="e">
        <f>TIMEVALUE(SUBSTITUTE('Daily CIO'!I119, CHAR(42),""))</f>
        <v>#VALUE!</v>
      </c>
      <c r="B120" s="58" t="e">
        <f>TIMEVALUE(SUBSTITUTE('Daily CIO'!J119, CHAR(42),""))</f>
        <v>#VALUE!</v>
      </c>
      <c r="C120" s="58" t="e">
        <f>TIMEVALUE(SUBSTITUTE('Daily CIO'!K119, CHAR(42),""))</f>
        <v>#VALUE!</v>
      </c>
      <c r="D120" s="58" t="e">
        <f>TIMEVALUE(SUBSTITUTE('Daily CIO'!L119, CHAR(42),""))</f>
        <v>#VALUE!</v>
      </c>
      <c r="E120" s="58" t="e">
        <f>TIMEVALUE(SUBSTITUTE('Daily CIO'!M120, CHAR(42),""))</f>
        <v>#VALUE!</v>
      </c>
    </row>
    <row r="121" spans="1:5" x14ac:dyDescent="0.25">
      <c r="A121" s="58" t="e">
        <f>TIMEVALUE(SUBSTITUTE('Daily CIO'!I120, CHAR(42),""))</f>
        <v>#VALUE!</v>
      </c>
      <c r="B121" s="58" t="e">
        <f>TIMEVALUE(SUBSTITUTE('Daily CIO'!J120, CHAR(42),""))</f>
        <v>#VALUE!</v>
      </c>
      <c r="C121" s="58" t="e">
        <f>TIMEVALUE(SUBSTITUTE('Daily CIO'!K120, CHAR(42),""))</f>
        <v>#VALUE!</v>
      </c>
      <c r="D121" s="58" t="e">
        <f>TIMEVALUE(SUBSTITUTE('Daily CIO'!L120, CHAR(42),""))</f>
        <v>#VALUE!</v>
      </c>
      <c r="E121" s="58" t="e">
        <f>TIMEVALUE(SUBSTITUTE('Daily CIO'!M121, CHAR(42),""))</f>
        <v>#VALUE!</v>
      </c>
    </row>
    <row r="122" spans="1:5" x14ac:dyDescent="0.25">
      <c r="A122" s="58" t="e">
        <f>TIMEVALUE(SUBSTITUTE('Daily CIO'!I121, CHAR(42),""))</f>
        <v>#VALUE!</v>
      </c>
      <c r="B122" s="58" t="e">
        <f>TIMEVALUE(SUBSTITUTE('Daily CIO'!J121, CHAR(42),""))</f>
        <v>#VALUE!</v>
      </c>
      <c r="C122" s="58" t="e">
        <f>TIMEVALUE(SUBSTITUTE('Daily CIO'!K121, CHAR(42),""))</f>
        <v>#VALUE!</v>
      </c>
      <c r="D122" s="58" t="e">
        <f>TIMEVALUE(SUBSTITUTE('Daily CIO'!L121, CHAR(42),""))</f>
        <v>#VALUE!</v>
      </c>
      <c r="E122" s="58" t="e">
        <f>TIMEVALUE(SUBSTITUTE('Daily CIO'!M122, CHAR(42),""))</f>
        <v>#VALUE!</v>
      </c>
    </row>
    <row r="123" spans="1:5" x14ac:dyDescent="0.25">
      <c r="A123" s="58" t="e">
        <f>TIMEVALUE(SUBSTITUTE('Daily CIO'!I122, CHAR(42),""))</f>
        <v>#VALUE!</v>
      </c>
      <c r="B123" s="58" t="e">
        <f>TIMEVALUE(SUBSTITUTE('Daily CIO'!J122, CHAR(42),""))</f>
        <v>#VALUE!</v>
      </c>
      <c r="C123" s="58" t="e">
        <f>TIMEVALUE(SUBSTITUTE('Daily CIO'!K122, CHAR(42),""))</f>
        <v>#VALUE!</v>
      </c>
      <c r="D123" s="58" t="e">
        <f>TIMEVALUE(SUBSTITUTE('Daily CIO'!L122, CHAR(42),""))</f>
        <v>#VALUE!</v>
      </c>
      <c r="E123" s="58" t="e">
        <f>TIMEVALUE(SUBSTITUTE('Daily CIO'!M123, CHAR(42),""))</f>
        <v>#VALUE!</v>
      </c>
    </row>
    <row r="124" spans="1:5" x14ac:dyDescent="0.25">
      <c r="A124" s="58" t="e">
        <f>TIMEVALUE(SUBSTITUTE('Daily CIO'!I123, CHAR(42),""))</f>
        <v>#VALUE!</v>
      </c>
      <c r="B124" s="58" t="e">
        <f>TIMEVALUE(SUBSTITUTE('Daily CIO'!J123, CHAR(42),""))</f>
        <v>#VALUE!</v>
      </c>
      <c r="C124" s="58" t="e">
        <f>TIMEVALUE(SUBSTITUTE('Daily CIO'!K123, CHAR(42),""))</f>
        <v>#VALUE!</v>
      </c>
      <c r="D124" s="58" t="e">
        <f>TIMEVALUE(SUBSTITUTE('Daily CIO'!L123, CHAR(42),""))</f>
        <v>#VALUE!</v>
      </c>
      <c r="E124" s="58" t="e">
        <f>TIMEVALUE(SUBSTITUTE('Daily CIO'!M124, CHAR(42),""))</f>
        <v>#VALUE!</v>
      </c>
    </row>
    <row r="125" spans="1:5" x14ac:dyDescent="0.25">
      <c r="A125" s="58" t="e">
        <f>TIMEVALUE(SUBSTITUTE('Daily CIO'!I124, CHAR(42),""))</f>
        <v>#VALUE!</v>
      </c>
      <c r="B125" s="58" t="e">
        <f>TIMEVALUE(SUBSTITUTE('Daily CIO'!J124, CHAR(42),""))</f>
        <v>#VALUE!</v>
      </c>
      <c r="C125" s="58" t="e">
        <f>TIMEVALUE(SUBSTITUTE('Daily CIO'!K124, CHAR(42),""))</f>
        <v>#VALUE!</v>
      </c>
      <c r="D125" s="58" t="e">
        <f>TIMEVALUE(SUBSTITUTE('Daily CIO'!L124, CHAR(42),""))</f>
        <v>#VALUE!</v>
      </c>
      <c r="E125" s="58" t="e">
        <f>TIMEVALUE(SUBSTITUTE('Daily CIO'!M125, CHAR(42),""))</f>
        <v>#VALUE!</v>
      </c>
    </row>
    <row r="126" spans="1:5" x14ac:dyDescent="0.25">
      <c r="A126" s="58">
        <f>TIMEVALUE(SUBSTITUTE('Daily CIO'!I125, CHAR(42),""))</f>
        <v>0.49652777777777773</v>
      </c>
      <c r="B126" s="58">
        <f>TIMEVALUE(SUBSTITUTE('Daily CIO'!J125, CHAR(42),""))</f>
        <v>4.6527777777777779E-2</v>
      </c>
      <c r="C126" s="58">
        <f>TIMEVALUE(SUBSTITUTE('Daily CIO'!K125, CHAR(42),""))</f>
        <v>0.11944444444444445</v>
      </c>
      <c r="D126" s="58" t="e">
        <f>TIMEVALUE(SUBSTITUTE('Daily CIO'!L125, CHAR(42),""))</f>
        <v>#VALUE!</v>
      </c>
      <c r="E126" s="58" t="e">
        <f>TIMEVALUE(SUBSTITUTE('Daily CIO'!M126, CHAR(42),""))</f>
        <v>#VALUE!</v>
      </c>
    </row>
    <row r="127" spans="1:5" x14ac:dyDescent="0.25">
      <c r="A127" s="58" t="e">
        <f>TIMEVALUE(SUBSTITUTE('Daily CIO'!I126, CHAR(42),""))</f>
        <v>#VALUE!</v>
      </c>
      <c r="B127" s="58" t="e">
        <f>TIMEVALUE(SUBSTITUTE('Daily CIO'!J126, CHAR(42),""))</f>
        <v>#VALUE!</v>
      </c>
      <c r="C127" s="58" t="e">
        <f>TIMEVALUE(SUBSTITUTE('Daily CIO'!K126, CHAR(42),""))</f>
        <v>#VALUE!</v>
      </c>
      <c r="D127" s="58" t="e">
        <f>TIMEVALUE(SUBSTITUTE('Daily CIO'!L126, CHAR(42),""))</f>
        <v>#VALUE!</v>
      </c>
      <c r="E127" s="58" t="e">
        <f>TIMEVALUE(SUBSTITUTE('Daily CIO'!M127, CHAR(42),""))</f>
        <v>#VALUE!</v>
      </c>
    </row>
    <row r="128" spans="1:5" x14ac:dyDescent="0.25">
      <c r="A128" s="58" t="e">
        <f>TIMEVALUE(SUBSTITUTE('Daily CIO'!I127, CHAR(42),""))</f>
        <v>#VALUE!</v>
      </c>
      <c r="B128" s="58" t="e">
        <f>TIMEVALUE(SUBSTITUTE('Daily CIO'!J127, CHAR(42),""))</f>
        <v>#VALUE!</v>
      </c>
      <c r="C128" s="58" t="e">
        <f>TIMEVALUE(SUBSTITUTE('Daily CIO'!K127, CHAR(42),""))</f>
        <v>#VALUE!</v>
      </c>
      <c r="D128" s="58" t="e">
        <f>TIMEVALUE(SUBSTITUTE('Daily CIO'!L127, CHAR(42),""))</f>
        <v>#VALUE!</v>
      </c>
      <c r="E128" s="58" t="e">
        <f>TIMEVALUE(SUBSTITUTE('Daily CIO'!M128, CHAR(42),""))</f>
        <v>#VALUE!</v>
      </c>
    </row>
    <row r="129" spans="1:5" x14ac:dyDescent="0.25">
      <c r="A129" s="58" t="e">
        <f>TIMEVALUE(SUBSTITUTE('Daily CIO'!I128, CHAR(42),""))</f>
        <v>#VALUE!</v>
      </c>
      <c r="B129" s="58" t="e">
        <f>TIMEVALUE(SUBSTITUTE('Daily CIO'!J128, CHAR(42),""))</f>
        <v>#VALUE!</v>
      </c>
      <c r="C129" s="58" t="e">
        <f>TIMEVALUE(SUBSTITUTE('Daily CIO'!K128, CHAR(42),""))</f>
        <v>#VALUE!</v>
      </c>
      <c r="D129" s="58" t="e">
        <f>TIMEVALUE(SUBSTITUTE('Daily CIO'!L128, CHAR(42),""))</f>
        <v>#VALUE!</v>
      </c>
      <c r="E129" s="58" t="e">
        <f>TIMEVALUE(SUBSTITUTE('Daily CIO'!M129, CHAR(42),""))</f>
        <v>#VALUE!</v>
      </c>
    </row>
    <row r="130" spans="1:5" x14ac:dyDescent="0.25">
      <c r="A130" s="58" t="e">
        <f>TIMEVALUE(SUBSTITUTE('Daily CIO'!I129, CHAR(42),""))</f>
        <v>#VALUE!</v>
      </c>
      <c r="B130" s="58" t="e">
        <f>TIMEVALUE(SUBSTITUTE('Daily CIO'!J129, CHAR(42),""))</f>
        <v>#VALUE!</v>
      </c>
      <c r="C130" s="58" t="e">
        <f>TIMEVALUE(SUBSTITUTE('Daily CIO'!K129, CHAR(42),""))</f>
        <v>#VALUE!</v>
      </c>
      <c r="D130" s="58" t="e">
        <f>TIMEVALUE(SUBSTITUTE('Daily CIO'!L129, CHAR(42),""))</f>
        <v>#VALUE!</v>
      </c>
      <c r="E130" s="58" t="e">
        <f>TIMEVALUE(SUBSTITUTE('Daily CIO'!M130, CHAR(42),""))</f>
        <v>#VALUE!</v>
      </c>
    </row>
    <row r="131" spans="1:5" x14ac:dyDescent="0.25">
      <c r="A131" s="58" t="e">
        <f>TIMEVALUE(SUBSTITUTE('Daily CIO'!I130, CHAR(42),""))</f>
        <v>#VALUE!</v>
      </c>
      <c r="B131" s="58" t="e">
        <f>TIMEVALUE(SUBSTITUTE('Daily CIO'!J130, CHAR(42),""))</f>
        <v>#VALUE!</v>
      </c>
      <c r="C131" s="58" t="e">
        <f>TIMEVALUE(SUBSTITUTE('Daily CIO'!K130, CHAR(42),""))</f>
        <v>#VALUE!</v>
      </c>
      <c r="D131" s="58" t="e">
        <f>TIMEVALUE(SUBSTITUTE('Daily CIO'!L130, CHAR(42),""))</f>
        <v>#VALUE!</v>
      </c>
      <c r="E131" s="58" t="e">
        <f>TIMEVALUE(SUBSTITUTE('Daily CIO'!M131, CHAR(42),""))</f>
        <v>#VALUE!</v>
      </c>
    </row>
    <row r="132" spans="1:5" x14ac:dyDescent="0.25">
      <c r="A132" s="58" t="e">
        <f>TIMEVALUE(SUBSTITUTE('Daily CIO'!I131, CHAR(42),""))</f>
        <v>#VALUE!</v>
      </c>
      <c r="B132" s="58" t="e">
        <f>TIMEVALUE(SUBSTITUTE('Daily CIO'!J131, CHAR(42),""))</f>
        <v>#VALUE!</v>
      </c>
      <c r="C132" s="58" t="e">
        <f>TIMEVALUE(SUBSTITUTE('Daily CIO'!K131, CHAR(42),""))</f>
        <v>#VALUE!</v>
      </c>
      <c r="D132" s="58" t="e">
        <f>TIMEVALUE(SUBSTITUTE('Daily CIO'!L131, CHAR(42),""))</f>
        <v>#VALUE!</v>
      </c>
      <c r="E132" s="58" t="e">
        <f>TIMEVALUE(SUBSTITUTE('Daily CIO'!M132, CHAR(42),""))</f>
        <v>#VALUE!</v>
      </c>
    </row>
    <row r="133" spans="1:5" x14ac:dyDescent="0.25">
      <c r="A133" s="58" t="e">
        <f>TIMEVALUE(SUBSTITUTE('Daily CIO'!I132, CHAR(42),""))</f>
        <v>#VALUE!</v>
      </c>
      <c r="B133" s="58" t="e">
        <f>TIMEVALUE(SUBSTITUTE('Daily CIO'!J132, CHAR(42),""))</f>
        <v>#VALUE!</v>
      </c>
      <c r="C133" s="58" t="e">
        <f>TIMEVALUE(SUBSTITUTE('Daily CIO'!K132, CHAR(42),""))</f>
        <v>#VALUE!</v>
      </c>
      <c r="D133" s="58" t="e">
        <f>TIMEVALUE(SUBSTITUTE('Daily CIO'!L132, CHAR(42),""))</f>
        <v>#VALUE!</v>
      </c>
      <c r="E133" s="58" t="e">
        <f>TIMEVALUE(SUBSTITUTE('Daily CIO'!M133, CHAR(42),""))</f>
        <v>#VALUE!</v>
      </c>
    </row>
    <row r="134" spans="1:5" x14ac:dyDescent="0.25">
      <c r="A134" s="58" t="e">
        <f>TIMEVALUE(SUBSTITUTE('Daily CIO'!I133, CHAR(42),""))</f>
        <v>#VALUE!</v>
      </c>
      <c r="B134" s="58" t="e">
        <f>TIMEVALUE(SUBSTITUTE('Daily CIO'!J133, CHAR(42),""))</f>
        <v>#VALUE!</v>
      </c>
      <c r="C134" s="58" t="e">
        <f>TIMEVALUE(SUBSTITUTE('Daily CIO'!K133, CHAR(42),""))</f>
        <v>#VALUE!</v>
      </c>
      <c r="D134" s="58" t="e">
        <f>TIMEVALUE(SUBSTITUTE('Daily CIO'!L133, CHAR(42),""))</f>
        <v>#VALUE!</v>
      </c>
      <c r="E134" s="58" t="e">
        <f>TIMEVALUE(SUBSTITUTE('Daily CIO'!M134, CHAR(42),""))</f>
        <v>#VALUE!</v>
      </c>
    </row>
    <row r="135" spans="1:5" x14ac:dyDescent="0.25">
      <c r="A135" s="58" t="e">
        <f>TIMEVALUE(SUBSTITUTE('Daily CIO'!I134, CHAR(42),""))</f>
        <v>#VALUE!</v>
      </c>
      <c r="B135" s="58" t="e">
        <f>TIMEVALUE(SUBSTITUTE('Daily CIO'!J134, CHAR(42),""))</f>
        <v>#VALUE!</v>
      </c>
      <c r="C135" s="58" t="e">
        <f>TIMEVALUE(SUBSTITUTE('Daily CIO'!K134, CHAR(42),""))</f>
        <v>#VALUE!</v>
      </c>
      <c r="D135" s="58" t="e">
        <f>TIMEVALUE(SUBSTITUTE('Daily CIO'!L134, CHAR(42),""))</f>
        <v>#VALUE!</v>
      </c>
      <c r="E135" s="58" t="e">
        <f>TIMEVALUE(SUBSTITUTE('Daily CIO'!M135, CHAR(42),""))</f>
        <v>#VALUE!</v>
      </c>
    </row>
    <row r="136" spans="1:5" x14ac:dyDescent="0.25">
      <c r="A136" s="58" t="e">
        <f>TIMEVALUE(SUBSTITUTE('Daily CIO'!I135, CHAR(42),""))</f>
        <v>#VALUE!</v>
      </c>
      <c r="B136" s="58" t="e">
        <f>TIMEVALUE(SUBSTITUTE('Daily CIO'!J135, CHAR(42),""))</f>
        <v>#VALUE!</v>
      </c>
      <c r="C136" s="58" t="e">
        <f>TIMEVALUE(SUBSTITUTE('Daily CIO'!K135, CHAR(42),""))</f>
        <v>#VALUE!</v>
      </c>
      <c r="D136" s="58" t="e">
        <f>TIMEVALUE(SUBSTITUTE('Daily CIO'!L135, CHAR(42),""))</f>
        <v>#VALUE!</v>
      </c>
      <c r="E136" s="58" t="e">
        <f>TIMEVALUE(SUBSTITUTE('Daily CIO'!M136, CHAR(42),""))</f>
        <v>#VALUE!</v>
      </c>
    </row>
    <row r="137" spans="1:5" x14ac:dyDescent="0.25">
      <c r="A137" s="58" t="e">
        <f>TIMEVALUE(SUBSTITUTE('Daily CIO'!I136, CHAR(42),""))</f>
        <v>#VALUE!</v>
      </c>
      <c r="B137" s="58" t="e">
        <f>TIMEVALUE(SUBSTITUTE('Daily CIO'!J136, CHAR(42),""))</f>
        <v>#VALUE!</v>
      </c>
      <c r="C137" s="58" t="e">
        <f>TIMEVALUE(SUBSTITUTE('Daily CIO'!K136, CHAR(42),""))</f>
        <v>#VALUE!</v>
      </c>
      <c r="D137" s="58" t="e">
        <f>TIMEVALUE(SUBSTITUTE('Daily CIO'!L136, CHAR(42),""))</f>
        <v>#VALUE!</v>
      </c>
      <c r="E137" s="58" t="e">
        <f>TIMEVALUE(SUBSTITUTE('Daily CIO'!M137, CHAR(42),""))</f>
        <v>#VALUE!</v>
      </c>
    </row>
    <row r="138" spans="1:5" x14ac:dyDescent="0.25">
      <c r="A138" s="58" t="e">
        <f>TIMEVALUE(SUBSTITUTE('Daily CIO'!I137, CHAR(42),""))</f>
        <v>#VALUE!</v>
      </c>
      <c r="B138" s="58" t="e">
        <f>TIMEVALUE(SUBSTITUTE('Daily CIO'!J137, CHAR(42),""))</f>
        <v>#VALUE!</v>
      </c>
      <c r="C138" s="58" t="e">
        <f>TIMEVALUE(SUBSTITUTE('Daily CIO'!K137, CHAR(42),""))</f>
        <v>#VALUE!</v>
      </c>
      <c r="D138" s="58" t="e">
        <f>TIMEVALUE(SUBSTITUTE('Daily CIO'!L137, CHAR(42),""))</f>
        <v>#VALUE!</v>
      </c>
      <c r="E138" s="58" t="e">
        <f>TIMEVALUE(SUBSTITUTE('Daily CIO'!M138, CHAR(42),""))</f>
        <v>#VALUE!</v>
      </c>
    </row>
    <row r="139" spans="1:5" x14ac:dyDescent="0.25">
      <c r="A139" s="58" t="e">
        <f>TIMEVALUE(SUBSTITUTE('Daily CIO'!I138, CHAR(42),""))</f>
        <v>#VALUE!</v>
      </c>
      <c r="B139" s="58" t="e">
        <f>TIMEVALUE(SUBSTITUTE('Daily CIO'!J138, CHAR(42),""))</f>
        <v>#VALUE!</v>
      </c>
      <c r="C139" s="58" t="e">
        <f>TIMEVALUE(SUBSTITUTE('Daily CIO'!K138, CHAR(42),""))</f>
        <v>#VALUE!</v>
      </c>
      <c r="D139" s="58" t="e">
        <f>TIMEVALUE(SUBSTITUTE('Daily CIO'!L138, CHAR(42),""))</f>
        <v>#VALUE!</v>
      </c>
      <c r="E139" s="58" t="e">
        <f>TIMEVALUE(SUBSTITUTE('Daily CIO'!M139, CHAR(42),""))</f>
        <v>#VALUE!</v>
      </c>
    </row>
    <row r="140" spans="1:5" x14ac:dyDescent="0.25">
      <c r="A140" s="58" t="e">
        <f>TIMEVALUE(SUBSTITUTE('Daily CIO'!I139, CHAR(42),""))</f>
        <v>#VALUE!</v>
      </c>
      <c r="B140" s="58" t="e">
        <f>TIMEVALUE(SUBSTITUTE('Daily CIO'!J139, CHAR(42),""))</f>
        <v>#VALUE!</v>
      </c>
      <c r="C140" s="58" t="e">
        <f>TIMEVALUE(SUBSTITUTE('Daily CIO'!K139, CHAR(42),""))</f>
        <v>#VALUE!</v>
      </c>
      <c r="D140" s="58" t="e">
        <f>TIMEVALUE(SUBSTITUTE('Daily CIO'!L139, CHAR(42),""))</f>
        <v>#VALUE!</v>
      </c>
      <c r="E140" s="58" t="e">
        <f>TIMEVALUE(SUBSTITUTE('Daily CIO'!M140, CHAR(42),""))</f>
        <v>#VALUE!</v>
      </c>
    </row>
    <row r="141" spans="1:5" x14ac:dyDescent="0.25">
      <c r="A141" s="58" t="e">
        <f>TIMEVALUE(SUBSTITUTE('Daily CIO'!I140, CHAR(42),""))</f>
        <v>#VALUE!</v>
      </c>
      <c r="B141" s="58" t="e">
        <f>TIMEVALUE(SUBSTITUTE('Daily CIO'!J140, CHAR(42),""))</f>
        <v>#VALUE!</v>
      </c>
      <c r="C141" s="58" t="e">
        <f>TIMEVALUE(SUBSTITUTE('Daily CIO'!K140, CHAR(42),""))</f>
        <v>#VALUE!</v>
      </c>
      <c r="D141" s="58" t="e">
        <f>TIMEVALUE(SUBSTITUTE('Daily CIO'!L140, CHAR(42),""))</f>
        <v>#VALUE!</v>
      </c>
      <c r="E141" s="58" t="e">
        <f>TIMEVALUE(SUBSTITUTE('Daily CIO'!M141, CHAR(42),""))</f>
        <v>#VALUE!</v>
      </c>
    </row>
    <row r="142" spans="1:5" x14ac:dyDescent="0.25">
      <c r="A142" s="58" t="e">
        <f>TIMEVALUE(SUBSTITUTE('Daily CIO'!I141, CHAR(42),""))</f>
        <v>#VALUE!</v>
      </c>
      <c r="B142" s="58" t="e">
        <f>TIMEVALUE(SUBSTITUTE('Daily CIO'!J141, CHAR(42),""))</f>
        <v>#VALUE!</v>
      </c>
      <c r="C142" s="58" t="e">
        <f>TIMEVALUE(SUBSTITUTE('Daily CIO'!K141, CHAR(42),""))</f>
        <v>#VALUE!</v>
      </c>
      <c r="D142" s="58" t="e">
        <f>TIMEVALUE(SUBSTITUTE('Daily CIO'!L141, CHAR(42),""))</f>
        <v>#VALUE!</v>
      </c>
      <c r="E142" s="58" t="e">
        <f>TIMEVALUE(SUBSTITUTE('Daily CIO'!M142, CHAR(42),""))</f>
        <v>#VALUE!</v>
      </c>
    </row>
    <row r="143" spans="1:5" x14ac:dyDescent="0.25">
      <c r="A143" s="58" t="e">
        <f>TIMEVALUE(SUBSTITUTE('Daily CIO'!I142, CHAR(42),""))</f>
        <v>#VALUE!</v>
      </c>
      <c r="B143" s="58" t="e">
        <f>TIMEVALUE(SUBSTITUTE('Daily CIO'!J142, CHAR(42),""))</f>
        <v>#VALUE!</v>
      </c>
      <c r="C143" s="58" t="e">
        <f>TIMEVALUE(SUBSTITUTE('Daily CIO'!K142, CHAR(42),""))</f>
        <v>#VALUE!</v>
      </c>
      <c r="D143" s="58" t="e">
        <f>TIMEVALUE(SUBSTITUTE('Daily CIO'!L142, CHAR(42),""))</f>
        <v>#VALUE!</v>
      </c>
      <c r="E143" s="58" t="e">
        <f>TIMEVALUE(SUBSTITUTE('Daily CIO'!M143, CHAR(42),""))</f>
        <v>#VALUE!</v>
      </c>
    </row>
    <row r="144" spans="1:5" x14ac:dyDescent="0.25">
      <c r="A144" s="58" t="e">
        <f>TIMEVALUE(SUBSTITUTE('Daily CIO'!I143, CHAR(42),""))</f>
        <v>#VALUE!</v>
      </c>
      <c r="B144" s="58" t="e">
        <f>TIMEVALUE(SUBSTITUTE('Daily CIO'!J143, CHAR(42),""))</f>
        <v>#VALUE!</v>
      </c>
      <c r="C144" s="58" t="e">
        <f>TIMEVALUE(SUBSTITUTE('Daily CIO'!K143, CHAR(42),""))</f>
        <v>#VALUE!</v>
      </c>
      <c r="D144" s="58" t="e">
        <f>TIMEVALUE(SUBSTITUTE('Daily CIO'!L143, CHAR(42),""))</f>
        <v>#VALUE!</v>
      </c>
      <c r="E144" s="58" t="e">
        <f>TIMEVALUE(SUBSTITUTE('Daily CIO'!M144, CHAR(42),""))</f>
        <v>#VALUE!</v>
      </c>
    </row>
    <row r="145" spans="1:5" x14ac:dyDescent="0.25">
      <c r="A145" s="58" t="e">
        <f>TIMEVALUE(SUBSTITUTE('Daily CIO'!I144, CHAR(42),""))</f>
        <v>#VALUE!</v>
      </c>
      <c r="B145" s="58" t="e">
        <f>TIMEVALUE(SUBSTITUTE('Daily CIO'!J144, CHAR(42),""))</f>
        <v>#VALUE!</v>
      </c>
      <c r="C145" s="58" t="e">
        <f>TIMEVALUE(SUBSTITUTE('Daily CIO'!K144, CHAR(42),""))</f>
        <v>#VALUE!</v>
      </c>
      <c r="D145" s="58" t="e">
        <f>TIMEVALUE(SUBSTITUTE('Daily CIO'!L144, CHAR(42),""))</f>
        <v>#VALUE!</v>
      </c>
      <c r="E145" s="58" t="e">
        <f>TIMEVALUE(SUBSTITUTE('Daily CIO'!M145, CHAR(42),""))</f>
        <v>#VALUE!</v>
      </c>
    </row>
    <row r="146" spans="1:5" x14ac:dyDescent="0.25">
      <c r="A146" s="58" t="e">
        <f>TIMEVALUE(SUBSTITUTE('Daily CIO'!I145, CHAR(42),""))</f>
        <v>#VALUE!</v>
      </c>
      <c r="B146" s="58" t="e">
        <f>TIMEVALUE(SUBSTITUTE('Daily CIO'!J145, CHAR(42),""))</f>
        <v>#VALUE!</v>
      </c>
      <c r="C146" s="58" t="e">
        <f>TIMEVALUE(SUBSTITUTE('Daily CIO'!K145, CHAR(42),""))</f>
        <v>#VALUE!</v>
      </c>
      <c r="D146" s="58" t="e">
        <f>TIMEVALUE(SUBSTITUTE('Daily CIO'!L145, CHAR(42),""))</f>
        <v>#VALUE!</v>
      </c>
      <c r="E146" s="58" t="e">
        <f>TIMEVALUE(SUBSTITUTE('Daily CIO'!M146, CHAR(42),""))</f>
        <v>#VALUE!</v>
      </c>
    </row>
    <row r="147" spans="1:5" x14ac:dyDescent="0.25">
      <c r="A147" s="58" t="e">
        <f>TIMEVALUE(SUBSTITUTE('Daily CIO'!I146, CHAR(42),""))</f>
        <v>#VALUE!</v>
      </c>
      <c r="B147" s="58" t="e">
        <f>TIMEVALUE(SUBSTITUTE('Daily CIO'!J146, CHAR(42),""))</f>
        <v>#VALUE!</v>
      </c>
      <c r="C147" s="58" t="e">
        <f>TIMEVALUE(SUBSTITUTE('Daily CIO'!K146, CHAR(42),""))</f>
        <v>#VALUE!</v>
      </c>
      <c r="D147" s="58" t="e">
        <f>TIMEVALUE(SUBSTITUTE('Daily CIO'!L146, CHAR(42),""))</f>
        <v>#VALUE!</v>
      </c>
      <c r="E147" s="58" t="e">
        <f>TIMEVALUE(SUBSTITUTE('Daily CIO'!#REF!, CHAR(42),""))</f>
        <v>#REF!</v>
      </c>
    </row>
    <row r="148" spans="1:5" x14ac:dyDescent="0.25">
      <c r="A148" s="58" t="e">
        <f>TIMEVALUE(SUBSTITUTE('Daily CIO'!#REF!, CHAR(42),""))</f>
        <v>#REF!</v>
      </c>
      <c r="B148" s="58" t="e">
        <f>TIMEVALUE(SUBSTITUTE('Daily CIO'!#REF!, CHAR(42),""))</f>
        <v>#REF!</v>
      </c>
      <c r="C148" s="58" t="e">
        <f>TIMEVALUE(SUBSTITUTE('Daily CIO'!#REF!, CHAR(42),""))</f>
        <v>#REF!</v>
      </c>
      <c r="D148" s="58" t="e">
        <f>TIMEVALUE(SUBSTITUTE('Daily CIO'!#REF!, CHAR(42),""))</f>
        <v>#REF!</v>
      </c>
      <c r="E148" s="58" t="e">
        <f>TIMEVALUE(SUBSTITUTE('Daily CIO'!M147, CHAR(42),""))</f>
        <v>#VALUE!</v>
      </c>
    </row>
    <row r="149" spans="1:5" x14ac:dyDescent="0.25">
      <c r="A149" s="58" t="e">
        <f>TIMEVALUE(SUBSTITUTE('Daily CIO'!I147, CHAR(42),""))</f>
        <v>#VALUE!</v>
      </c>
      <c r="B149" s="58" t="e">
        <f>TIMEVALUE(SUBSTITUTE('Daily CIO'!J147, CHAR(42),""))</f>
        <v>#VALUE!</v>
      </c>
      <c r="C149" s="58" t="e">
        <f>TIMEVALUE(SUBSTITUTE('Daily CIO'!K147, CHAR(42),""))</f>
        <v>#VALUE!</v>
      </c>
      <c r="D149" s="58" t="e">
        <f>TIMEVALUE(SUBSTITUTE('Daily CIO'!L147, CHAR(42),""))</f>
        <v>#VALUE!</v>
      </c>
      <c r="E149" s="58" t="e">
        <f>TIMEVALUE(SUBSTITUTE('Daily CIO'!M148, CHAR(42),""))</f>
        <v>#VALUE!</v>
      </c>
    </row>
    <row r="150" spans="1:5" x14ac:dyDescent="0.25">
      <c r="A150" s="58" t="e">
        <f>TIMEVALUE(SUBSTITUTE('Daily CIO'!I148, CHAR(42),""))</f>
        <v>#VALUE!</v>
      </c>
      <c r="B150" s="58" t="e">
        <f>TIMEVALUE(SUBSTITUTE('Daily CIO'!J148, CHAR(42),""))</f>
        <v>#VALUE!</v>
      </c>
      <c r="C150" s="58" t="e">
        <f>TIMEVALUE(SUBSTITUTE('Daily CIO'!K148, CHAR(42),""))</f>
        <v>#VALUE!</v>
      </c>
      <c r="D150" s="58" t="e">
        <f>TIMEVALUE(SUBSTITUTE('Daily CIO'!L148, CHAR(42),""))</f>
        <v>#VALUE!</v>
      </c>
      <c r="E150" s="58" t="e">
        <f>TIMEVALUE(SUBSTITUTE('Daily CIO'!M149, CHAR(42),""))</f>
        <v>#VALUE!</v>
      </c>
    </row>
    <row r="151" spans="1:5" x14ac:dyDescent="0.25">
      <c r="A151" s="58" t="e">
        <f>TIMEVALUE(SUBSTITUTE('Daily CIO'!I149, CHAR(42),""))</f>
        <v>#VALUE!</v>
      </c>
      <c r="B151" s="58" t="e">
        <f>TIMEVALUE(SUBSTITUTE('Daily CIO'!J149, CHAR(42),""))</f>
        <v>#VALUE!</v>
      </c>
      <c r="C151" s="58" t="e">
        <f>TIMEVALUE(SUBSTITUTE('Daily CIO'!K149, CHAR(42),""))</f>
        <v>#VALUE!</v>
      </c>
      <c r="D151" s="58" t="e">
        <f>TIMEVALUE(SUBSTITUTE('Daily CIO'!L149, CHAR(42),""))</f>
        <v>#VALUE!</v>
      </c>
      <c r="E151" s="58" t="e">
        <f>TIMEVALUE(SUBSTITUTE('Daily CIO'!M150, CHAR(42),""))</f>
        <v>#VALUE!</v>
      </c>
    </row>
    <row r="152" spans="1:5" x14ac:dyDescent="0.25">
      <c r="A152" s="58" t="e">
        <f>TIMEVALUE(SUBSTITUTE('Daily CIO'!I150, CHAR(42),""))</f>
        <v>#VALUE!</v>
      </c>
      <c r="B152" s="58" t="e">
        <f>TIMEVALUE(SUBSTITUTE('Daily CIO'!J150, CHAR(42),""))</f>
        <v>#VALUE!</v>
      </c>
      <c r="C152" s="58" t="e">
        <f>TIMEVALUE(SUBSTITUTE('Daily CIO'!K150, CHAR(42),""))</f>
        <v>#VALUE!</v>
      </c>
      <c r="D152" s="58" t="e">
        <f>TIMEVALUE(SUBSTITUTE('Daily CIO'!L150, CHAR(42),""))</f>
        <v>#VALUE!</v>
      </c>
      <c r="E152" s="58" t="e">
        <f>TIMEVALUE(SUBSTITUTE('Daily CIO'!M151, CHAR(42),""))</f>
        <v>#VALUE!</v>
      </c>
    </row>
    <row r="153" spans="1:5" x14ac:dyDescent="0.25">
      <c r="A153" s="58" t="e">
        <f>TIMEVALUE(SUBSTITUTE('Daily CIO'!I151, CHAR(42),""))</f>
        <v>#VALUE!</v>
      </c>
      <c r="B153" s="58" t="e">
        <f>TIMEVALUE(SUBSTITUTE('Daily CIO'!J151, CHAR(42),""))</f>
        <v>#VALUE!</v>
      </c>
      <c r="C153" s="58" t="e">
        <f>TIMEVALUE(SUBSTITUTE('Daily CIO'!K151, CHAR(42),""))</f>
        <v>#VALUE!</v>
      </c>
      <c r="D153" s="58" t="e">
        <f>TIMEVALUE(SUBSTITUTE('Daily CIO'!L151, CHAR(42),""))</f>
        <v>#VALUE!</v>
      </c>
      <c r="E153" s="58" t="e">
        <f>TIMEVALUE(SUBSTITUTE('Daily CIO'!M152, CHAR(42),""))</f>
        <v>#VALUE!</v>
      </c>
    </row>
    <row r="154" spans="1:5" x14ac:dyDescent="0.25">
      <c r="A154" s="58" t="e">
        <f>TIMEVALUE(SUBSTITUTE('Daily CIO'!I152, CHAR(42),""))</f>
        <v>#VALUE!</v>
      </c>
      <c r="B154" s="58" t="e">
        <f>TIMEVALUE(SUBSTITUTE('Daily CIO'!J152, CHAR(42),""))</f>
        <v>#VALUE!</v>
      </c>
      <c r="C154" s="58" t="e">
        <f>TIMEVALUE(SUBSTITUTE('Daily CIO'!K152, CHAR(42),""))</f>
        <v>#VALUE!</v>
      </c>
      <c r="D154" s="58" t="e">
        <f>TIMEVALUE(SUBSTITUTE('Daily CIO'!L152, CHAR(42),""))</f>
        <v>#VALUE!</v>
      </c>
      <c r="E154" s="58" t="e">
        <f>TIMEVALUE(SUBSTITUTE('Daily CIO'!M153, CHAR(42),""))</f>
        <v>#VALUE!</v>
      </c>
    </row>
    <row r="155" spans="1:5" x14ac:dyDescent="0.25">
      <c r="A155" s="58" t="e">
        <f>TIMEVALUE(SUBSTITUTE('Daily CIO'!I153, CHAR(42),""))</f>
        <v>#VALUE!</v>
      </c>
      <c r="B155" s="58" t="e">
        <f>TIMEVALUE(SUBSTITUTE('Daily CIO'!J153, CHAR(42),""))</f>
        <v>#VALUE!</v>
      </c>
      <c r="C155" s="58" t="e">
        <f>TIMEVALUE(SUBSTITUTE('Daily CIO'!K153, CHAR(42),""))</f>
        <v>#VALUE!</v>
      </c>
      <c r="D155" s="58" t="e">
        <f>TIMEVALUE(SUBSTITUTE('Daily CIO'!L153, CHAR(42),""))</f>
        <v>#VALUE!</v>
      </c>
      <c r="E155" s="58" t="e">
        <f>TIMEVALUE(SUBSTITUTE('Daily CIO'!M154, CHAR(42),""))</f>
        <v>#VALUE!</v>
      </c>
    </row>
    <row r="156" spans="1:5" x14ac:dyDescent="0.25">
      <c r="A156" s="58" t="e">
        <f>TIMEVALUE(SUBSTITUTE('Daily CIO'!I154, CHAR(42),""))</f>
        <v>#VALUE!</v>
      </c>
      <c r="B156" s="58" t="e">
        <f>TIMEVALUE(SUBSTITUTE('Daily CIO'!J154, CHAR(42),""))</f>
        <v>#VALUE!</v>
      </c>
      <c r="C156" s="58" t="e">
        <f>TIMEVALUE(SUBSTITUTE('Daily CIO'!K154, CHAR(42),""))</f>
        <v>#VALUE!</v>
      </c>
      <c r="D156" s="58" t="e">
        <f>TIMEVALUE(SUBSTITUTE('Daily CIO'!L154, CHAR(42),""))</f>
        <v>#VALUE!</v>
      </c>
      <c r="E156" s="58" t="e">
        <f>TIMEVALUE(SUBSTITUTE('Daily CIO'!M155, CHAR(42),""))</f>
        <v>#VALUE!</v>
      </c>
    </row>
    <row r="157" spans="1:5" x14ac:dyDescent="0.25">
      <c r="A157" s="58" t="e">
        <f>TIMEVALUE(SUBSTITUTE('Daily CIO'!I155, CHAR(42),""))</f>
        <v>#VALUE!</v>
      </c>
      <c r="B157" s="58" t="e">
        <f>TIMEVALUE(SUBSTITUTE('Daily CIO'!J155, CHAR(42),""))</f>
        <v>#VALUE!</v>
      </c>
      <c r="C157" s="58" t="e">
        <f>TIMEVALUE(SUBSTITUTE('Daily CIO'!K155, CHAR(42),""))</f>
        <v>#VALUE!</v>
      </c>
      <c r="D157" s="58" t="e">
        <f>TIMEVALUE(SUBSTITUTE('Daily CIO'!L155, CHAR(42),""))</f>
        <v>#VALUE!</v>
      </c>
      <c r="E157" s="58" t="e">
        <f>TIMEVALUE(SUBSTITUTE('Daily CIO'!M156, CHAR(42),""))</f>
        <v>#VALUE!</v>
      </c>
    </row>
    <row r="158" spans="1:5" x14ac:dyDescent="0.25">
      <c r="A158" s="58" t="e">
        <f>TIMEVALUE(SUBSTITUTE('Daily CIO'!I156, CHAR(42),""))</f>
        <v>#VALUE!</v>
      </c>
      <c r="B158" s="58" t="e">
        <f>TIMEVALUE(SUBSTITUTE('Daily CIO'!J156, CHAR(42),""))</f>
        <v>#VALUE!</v>
      </c>
      <c r="C158" s="58" t="e">
        <f>TIMEVALUE(SUBSTITUTE('Daily CIO'!K156, CHAR(42),""))</f>
        <v>#VALUE!</v>
      </c>
      <c r="D158" s="58" t="e">
        <f>TIMEVALUE(SUBSTITUTE('Daily CIO'!L156, CHAR(42),""))</f>
        <v>#VALUE!</v>
      </c>
      <c r="E158" s="58" t="e">
        <f>TIMEVALUE(SUBSTITUTE('Daily CIO'!M157, CHAR(42),""))</f>
        <v>#VALUE!</v>
      </c>
    </row>
    <row r="159" spans="1:5" x14ac:dyDescent="0.25">
      <c r="A159" s="58" t="e">
        <f>TIMEVALUE(SUBSTITUTE('Daily CIO'!I157, CHAR(42),""))</f>
        <v>#VALUE!</v>
      </c>
      <c r="B159" s="58" t="e">
        <f>TIMEVALUE(SUBSTITUTE('Daily CIO'!J157, CHAR(42),""))</f>
        <v>#VALUE!</v>
      </c>
      <c r="C159" s="58" t="e">
        <f>TIMEVALUE(SUBSTITUTE('Daily CIO'!K157, CHAR(42),""))</f>
        <v>#VALUE!</v>
      </c>
      <c r="D159" s="58" t="e">
        <f>TIMEVALUE(SUBSTITUTE('Daily CIO'!L157, CHAR(42),""))</f>
        <v>#VALUE!</v>
      </c>
      <c r="E159" s="58" t="e">
        <f>TIMEVALUE(SUBSTITUTE('Daily CIO'!M158, CHAR(42),""))</f>
        <v>#VALUE!</v>
      </c>
    </row>
    <row r="160" spans="1:5" x14ac:dyDescent="0.25">
      <c r="A160" s="58" t="e">
        <f>TIMEVALUE(SUBSTITUTE('Daily CIO'!I158, CHAR(42),""))</f>
        <v>#VALUE!</v>
      </c>
      <c r="B160" s="58" t="e">
        <f>TIMEVALUE(SUBSTITUTE('Daily CIO'!J158, CHAR(42),""))</f>
        <v>#VALUE!</v>
      </c>
      <c r="C160" s="58" t="e">
        <f>TIMEVALUE(SUBSTITUTE('Daily CIO'!K158, CHAR(42),""))</f>
        <v>#VALUE!</v>
      </c>
      <c r="D160" s="58" t="e">
        <f>TIMEVALUE(SUBSTITUTE('Daily CIO'!L158, CHAR(42),""))</f>
        <v>#VALUE!</v>
      </c>
      <c r="E160" s="58" t="e">
        <f>TIMEVALUE(SUBSTITUTE('Daily CIO'!M159, CHAR(42),""))</f>
        <v>#VALUE!</v>
      </c>
    </row>
    <row r="161" spans="1:5" x14ac:dyDescent="0.25">
      <c r="A161" s="58" t="e">
        <f>TIMEVALUE(SUBSTITUTE('Daily CIO'!I159, CHAR(42),""))</f>
        <v>#VALUE!</v>
      </c>
      <c r="B161" s="58" t="e">
        <f>TIMEVALUE(SUBSTITUTE('Daily CIO'!J159, CHAR(42),""))</f>
        <v>#VALUE!</v>
      </c>
      <c r="C161" s="58" t="e">
        <f>TIMEVALUE(SUBSTITUTE('Daily CIO'!K159, CHAR(42),""))</f>
        <v>#VALUE!</v>
      </c>
      <c r="D161" s="58" t="e">
        <f>TIMEVALUE(SUBSTITUTE('Daily CIO'!L159, CHAR(42),""))</f>
        <v>#VALUE!</v>
      </c>
      <c r="E161" s="58" t="e">
        <f>TIMEVALUE(SUBSTITUTE('Daily CIO'!M160, CHAR(42),""))</f>
        <v>#VALUE!</v>
      </c>
    </row>
    <row r="162" spans="1:5" x14ac:dyDescent="0.25">
      <c r="A162" s="58" t="e">
        <f>TIMEVALUE(SUBSTITUTE('Daily CIO'!I160, CHAR(42),""))</f>
        <v>#VALUE!</v>
      </c>
      <c r="B162" s="58" t="e">
        <f>TIMEVALUE(SUBSTITUTE('Daily CIO'!J160, CHAR(42),""))</f>
        <v>#VALUE!</v>
      </c>
      <c r="C162" s="58" t="e">
        <f>TIMEVALUE(SUBSTITUTE('Daily CIO'!K160, CHAR(42),""))</f>
        <v>#VALUE!</v>
      </c>
      <c r="D162" s="58" t="e">
        <f>TIMEVALUE(SUBSTITUTE('Daily CIO'!L160, CHAR(42),""))</f>
        <v>#VALUE!</v>
      </c>
      <c r="E162" s="58" t="e">
        <f>TIMEVALUE(SUBSTITUTE('Daily CIO'!M161, CHAR(42),""))</f>
        <v>#VALUE!</v>
      </c>
    </row>
    <row r="163" spans="1:5" x14ac:dyDescent="0.25">
      <c r="A163" s="58" t="e">
        <f>TIMEVALUE(SUBSTITUTE('Daily CIO'!I161, CHAR(42),""))</f>
        <v>#VALUE!</v>
      </c>
      <c r="B163" s="58" t="e">
        <f>TIMEVALUE(SUBSTITUTE('Daily CIO'!J161, CHAR(42),""))</f>
        <v>#VALUE!</v>
      </c>
      <c r="C163" s="58" t="e">
        <f>TIMEVALUE(SUBSTITUTE('Daily CIO'!K161, CHAR(42),""))</f>
        <v>#VALUE!</v>
      </c>
      <c r="D163" s="58" t="e">
        <f>TIMEVALUE(SUBSTITUTE('Daily CIO'!L161, CHAR(42),""))</f>
        <v>#VALUE!</v>
      </c>
      <c r="E163" s="58" t="e">
        <f>TIMEVALUE(SUBSTITUTE('Daily CIO'!M162, CHAR(42),""))</f>
        <v>#VALUE!</v>
      </c>
    </row>
    <row r="164" spans="1:5" x14ac:dyDescent="0.25">
      <c r="A164" s="58" t="e">
        <f>TIMEVALUE(SUBSTITUTE('Daily CIO'!I162, CHAR(42),""))</f>
        <v>#VALUE!</v>
      </c>
      <c r="B164" s="58" t="e">
        <f>TIMEVALUE(SUBSTITUTE('Daily CIO'!J162, CHAR(42),""))</f>
        <v>#VALUE!</v>
      </c>
      <c r="C164" s="58" t="e">
        <f>TIMEVALUE(SUBSTITUTE('Daily CIO'!K162, CHAR(42),""))</f>
        <v>#VALUE!</v>
      </c>
      <c r="D164" s="58" t="e">
        <f>TIMEVALUE(SUBSTITUTE('Daily CIO'!L162, CHAR(42),""))</f>
        <v>#VALUE!</v>
      </c>
      <c r="E164" s="58" t="e">
        <f>TIMEVALUE(SUBSTITUTE('Daily CIO'!M163, CHAR(42),""))</f>
        <v>#VALUE!</v>
      </c>
    </row>
    <row r="165" spans="1:5" x14ac:dyDescent="0.25">
      <c r="A165" s="58" t="e">
        <f>TIMEVALUE(SUBSTITUTE('Daily CIO'!I163, CHAR(42),""))</f>
        <v>#VALUE!</v>
      </c>
      <c r="B165" s="58" t="e">
        <f>TIMEVALUE(SUBSTITUTE('Daily CIO'!J163, CHAR(42),""))</f>
        <v>#VALUE!</v>
      </c>
      <c r="C165" s="58" t="e">
        <f>TIMEVALUE(SUBSTITUTE('Daily CIO'!K163, CHAR(42),""))</f>
        <v>#VALUE!</v>
      </c>
      <c r="D165" s="58" t="e">
        <f>TIMEVALUE(SUBSTITUTE('Daily CIO'!L163, CHAR(42),""))</f>
        <v>#VALUE!</v>
      </c>
      <c r="E165" s="58" t="e">
        <f>TIMEVALUE(SUBSTITUTE('Daily CIO'!M164, CHAR(42),""))</f>
        <v>#VALUE!</v>
      </c>
    </row>
    <row r="166" spans="1:5" x14ac:dyDescent="0.25">
      <c r="A166" s="58" t="e">
        <f>TIMEVALUE(SUBSTITUTE('Daily CIO'!I164, CHAR(42),""))</f>
        <v>#VALUE!</v>
      </c>
      <c r="B166" s="58" t="e">
        <f>TIMEVALUE(SUBSTITUTE('Daily CIO'!J164, CHAR(42),""))</f>
        <v>#VALUE!</v>
      </c>
      <c r="C166" s="58" t="e">
        <f>TIMEVALUE(SUBSTITUTE('Daily CIO'!K164, CHAR(42),""))</f>
        <v>#VALUE!</v>
      </c>
      <c r="D166" s="58" t="e">
        <f>TIMEVALUE(SUBSTITUTE('Daily CIO'!L164, CHAR(42),""))</f>
        <v>#VALUE!</v>
      </c>
      <c r="E166" s="58" t="e">
        <f>TIMEVALUE(SUBSTITUTE('Daily CIO'!M165, CHAR(42),""))</f>
        <v>#VALUE!</v>
      </c>
    </row>
    <row r="167" spans="1:5" x14ac:dyDescent="0.25">
      <c r="A167" s="58" t="e">
        <f>TIMEVALUE(SUBSTITUTE('Daily CIO'!I165, CHAR(42),""))</f>
        <v>#VALUE!</v>
      </c>
      <c r="B167" s="58" t="e">
        <f>TIMEVALUE(SUBSTITUTE('Daily CIO'!J165, CHAR(42),""))</f>
        <v>#VALUE!</v>
      </c>
      <c r="C167" s="58" t="e">
        <f>TIMEVALUE(SUBSTITUTE('Daily CIO'!K165, CHAR(42),""))</f>
        <v>#VALUE!</v>
      </c>
      <c r="D167" s="58" t="e">
        <f>TIMEVALUE(SUBSTITUTE('Daily CIO'!L165, CHAR(42),""))</f>
        <v>#VALUE!</v>
      </c>
      <c r="E167" s="58" t="e">
        <f>TIMEVALUE(SUBSTITUTE('Daily CIO'!M166, CHAR(42),""))</f>
        <v>#VALUE!</v>
      </c>
    </row>
    <row r="168" spans="1:5" x14ac:dyDescent="0.25">
      <c r="A168" s="58" t="e">
        <f>TIMEVALUE(SUBSTITUTE('Daily CIO'!I166, CHAR(42),""))</f>
        <v>#VALUE!</v>
      </c>
      <c r="B168" s="58" t="e">
        <f>TIMEVALUE(SUBSTITUTE('Daily CIO'!J166, CHAR(42),""))</f>
        <v>#VALUE!</v>
      </c>
      <c r="C168" s="58" t="e">
        <f>TIMEVALUE(SUBSTITUTE('Daily CIO'!K166, CHAR(42),""))</f>
        <v>#VALUE!</v>
      </c>
      <c r="D168" s="58" t="e">
        <f>TIMEVALUE(SUBSTITUTE('Daily CIO'!L166, CHAR(42),""))</f>
        <v>#VALUE!</v>
      </c>
      <c r="E168" s="58" t="e">
        <f>TIMEVALUE(SUBSTITUTE('Daily CIO'!M167, CHAR(42),""))</f>
        <v>#VALUE!</v>
      </c>
    </row>
    <row r="169" spans="1:5" x14ac:dyDescent="0.25">
      <c r="A169" s="58" t="e">
        <f>TIMEVALUE(SUBSTITUTE('Daily CIO'!I167, CHAR(42),""))</f>
        <v>#VALUE!</v>
      </c>
      <c r="B169" s="58" t="e">
        <f>TIMEVALUE(SUBSTITUTE('Daily CIO'!J167, CHAR(42),""))</f>
        <v>#VALUE!</v>
      </c>
      <c r="C169" s="58" t="e">
        <f>TIMEVALUE(SUBSTITUTE('Daily CIO'!K167, CHAR(42),""))</f>
        <v>#VALUE!</v>
      </c>
      <c r="D169" s="58" t="e">
        <f>TIMEVALUE(SUBSTITUTE('Daily CIO'!L167, CHAR(42),""))</f>
        <v>#VALUE!</v>
      </c>
      <c r="E169" s="58" t="e">
        <f>TIMEVALUE(SUBSTITUTE('Daily CIO'!M168, CHAR(42),""))</f>
        <v>#VALUE!</v>
      </c>
    </row>
    <row r="170" spans="1:5" x14ac:dyDescent="0.25">
      <c r="A170" s="58" t="e">
        <f>TIMEVALUE(SUBSTITUTE('Daily CIO'!I168, CHAR(42),""))</f>
        <v>#VALUE!</v>
      </c>
      <c r="B170" s="58" t="e">
        <f>TIMEVALUE(SUBSTITUTE('Daily CIO'!J168, CHAR(42),""))</f>
        <v>#VALUE!</v>
      </c>
      <c r="C170" s="58" t="e">
        <f>TIMEVALUE(SUBSTITUTE('Daily CIO'!K168, CHAR(42),""))</f>
        <v>#VALUE!</v>
      </c>
      <c r="D170" s="58" t="e">
        <f>TIMEVALUE(SUBSTITUTE('Daily CIO'!L168, CHAR(42),""))</f>
        <v>#VALUE!</v>
      </c>
      <c r="E170" s="58" t="e">
        <f>TIMEVALUE(SUBSTITUTE('Daily CIO'!M169, CHAR(42),""))</f>
        <v>#VALUE!</v>
      </c>
    </row>
    <row r="171" spans="1:5" x14ac:dyDescent="0.25">
      <c r="A171" s="58" t="e">
        <f>TIMEVALUE(SUBSTITUTE('Daily CIO'!I169, CHAR(42),""))</f>
        <v>#VALUE!</v>
      </c>
      <c r="B171" s="58" t="e">
        <f>TIMEVALUE(SUBSTITUTE('Daily CIO'!J169, CHAR(42),""))</f>
        <v>#VALUE!</v>
      </c>
      <c r="C171" s="58" t="e">
        <f>TIMEVALUE(SUBSTITUTE('Daily CIO'!K169, CHAR(42),""))</f>
        <v>#VALUE!</v>
      </c>
      <c r="D171" s="58" t="e">
        <f>TIMEVALUE(SUBSTITUTE('Daily CIO'!L169, CHAR(42),""))</f>
        <v>#VALUE!</v>
      </c>
      <c r="E171" s="58" t="e">
        <f>TIMEVALUE(SUBSTITUTE('Daily CIO'!M170, CHAR(42),""))</f>
        <v>#VALUE!</v>
      </c>
    </row>
    <row r="172" spans="1:5" x14ac:dyDescent="0.25">
      <c r="A172" s="58" t="e">
        <f>TIMEVALUE(SUBSTITUTE('Daily CIO'!I170, CHAR(42),""))</f>
        <v>#VALUE!</v>
      </c>
      <c r="B172" s="58" t="e">
        <f>TIMEVALUE(SUBSTITUTE('Daily CIO'!J170, CHAR(42),""))</f>
        <v>#VALUE!</v>
      </c>
      <c r="C172" s="58" t="e">
        <f>TIMEVALUE(SUBSTITUTE('Daily CIO'!K170, CHAR(42),""))</f>
        <v>#VALUE!</v>
      </c>
      <c r="D172" s="58" t="e">
        <f>TIMEVALUE(SUBSTITUTE('Daily CIO'!L170, CHAR(42),""))</f>
        <v>#VALUE!</v>
      </c>
      <c r="E172" s="58" t="e">
        <f>TIMEVALUE(SUBSTITUTE('Daily CIO'!M171, CHAR(42),""))</f>
        <v>#VALUE!</v>
      </c>
    </row>
    <row r="173" spans="1:5" x14ac:dyDescent="0.25">
      <c r="A173" s="58" t="e">
        <f>TIMEVALUE(SUBSTITUTE('Daily CIO'!I171, CHAR(42),""))</f>
        <v>#VALUE!</v>
      </c>
      <c r="B173" s="58" t="e">
        <f>TIMEVALUE(SUBSTITUTE('Daily CIO'!J171, CHAR(42),""))</f>
        <v>#VALUE!</v>
      </c>
      <c r="C173" s="58" t="e">
        <f>TIMEVALUE(SUBSTITUTE('Daily CIO'!K171, CHAR(42),""))</f>
        <v>#VALUE!</v>
      </c>
      <c r="D173" s="58" t="e">
        <f>TIMEVALUE(SUBSTITUTE('Daily CIO'!L171, CHAR(42),""))</f>
        <v>#VALUE!</v>
      </c>
      <c r="E173" s="58" t="e">
        <f>TIMEVALUE(SUBSTITUTE('Daily CIO'!M172, CHAR(42),""))</f>
        <v>#VALUE!</v>
      </c>
    </row>
    <row r="174" spans="1:5" x14ac:dyDescent="0.25">
      <c r="A174" s="58" t="e">
        <f>TIMEVALUE(SUBSTITUTE('Daily CIO'!I172, CHAR(42),""))</f>
        <v>#VALUE!</v>
      </c>
      <c r="B174" s="58" t="e">
        <f>TIMEVALUE(SUBSTITUTE('Daily CIO'!J172, CHAR(42),""))</f>
        <v>#VALUE!</v>
      </c>
      <c r="C174" s="58" t="e">
        <f>TIMEVALUE(SUBSTITUTE('Daily CIO'!K172, CHAR(42),""))</f>
        <v>#VALUE!</v>
      </c>
      <c r="D174" s="58" t="e">
        <f>TIMEVALUE(SUBSTITUTE('Daily CIO'!L172, CHAR(42),""))</f>
        <v>#VALUE!</v>
      </c>
      <c r="E174" s="58" t="e">
        <f>TIMEVALUE(SUBSTITUTE('Daily CIO'!M173, CHAR(42),""))</f>
        <v>#VALUE!</v>
      </c>
    </row>
    <row r="175" spans="1:5" x14ac:dyDescent="0.25">
      <c r="A175" s="58" t="e">
        <f>TIMEVALUE(SUBSTITUTE('Daily CIO'!I173, CHAR(42),""))</f>
        <v>#VALUE!</v>
      </c>
      <c r="B175" s="58" t="e">
        <f>TIMEVALUE(SUBSTITUTE('Daily CIO'!J173, CHAR(42),""))</f>
        <v>#VALUE!</v>
      </c>
      <c r="C175" s="58" t="e">
        <f>TIMEVALUE(SUBSTITUTE('Daily CIO'!K173, CHAR(42),""))</f>
        <v>#VALUE!</v>
      </c>
      <c r="D175" s="58" t="e">
        <f>TIMEVALUE(SUBSTITUTE('Daily CIO'!L173, CHAR(42),""))</f>
        <v>#VALUE!</v>
      </c>
      <c r="E175" s="58" t="e">
        <f>TIMEVALUE(SUBSTITUTE('Daily CIO'!M174, CHAR(42),""))</f>
        <v>#VALUE!</v>
      </c>
    </row>
    <row r="176" spans="1:5" x14ac:dyDescent="0.25">
      <c r="A176" s="58" t="e">
        <f>TIMEVALUE(SUBSTITUTE('Daily CIO'!I174, CHAR(42),""))</f>
        <v>#VALUE!</v>
      </c>
      <c r="B176" s="58" t="e">
        <f>TIMEVALUE(SUBSTITUTE('Daily CIO'!J174, CHAR(42),""))</f>
        <v>#VALUE!</v>
      </c>
      <c r="C176" s="58" t="e">
        <f>TIMEVALUE(SUBSTITUTE('Daily CIO'!K174, CHAR(42),""))</f>
        <v>#VALUE!</v>
      </c>
      <c r="D176" s="58" t="e">
        <f>TIMEVALUE(SUBSTITUTE('Daily CIO'!L174, CHAR(42),""))</f>
        <v>#VALUE!</v>
      </c>
      <c r="E176" s="58" t="e">
        <f>TIMEVALUE(SUBSTITUTE('Daily CIO'!M175, CHAR(42),""))</f>
        <v>#VALUE!</v>
      </c>
    </row>
    <row r="177" spans="1:5" x14ac:dyDescent="0.25">
      <c r="A177" s="58" t="e">
        <f>TIMEVALUE(SUBSTITUTE('Daily CIO'!I175, CHAR(42),""))</f>
        <v>#VALUE!</v>
      </c>
      <c r="B177" s="58" t="e">
        <f>TIMEVALUE(SUBSTITUTE('Daily CIO'!J175, CHAR(42),""))</f>
        <v>#VALUE!</v>
      </c>
      <c r="C177" s="58" t="e">
        <f>TIMEVALUE(SUBSTITUTE('Daily CIO'!K175, CHAR(42),""))</f>
        <v>#VALUE!</v>
      </c>
      <c r="D177" s="58" t="e">
        <f>TIMEVALUE(SUBSTITUTE('Daily CIO'!L175, CHAR(42),""))</f>
        <v>#VALUE!</v>
      </c>
      <c r="E177" s="58" t="e">
        <f>TIMEVALUE(SUBSTITUTE('Daily CIO'!M176, CHAR(42),""))</f>
        <v>#VALUE!</v>
      </c>
    </row>
    <row r="178" spans="1:5" x14ac:dyDescent="0.25">
      <c r="A178" s="58" t="e">
        <f>TIMEVALUE(SUBSTITUTE('Daily CIO'!I176, CHAR(42),""))</f>
        <v>#VALUE!</v>
      </c>
      <c r="B178" s="58" t="e">
        <f>TIMEVALUE(SUBSTITUTE('Daily CIO'!J176, CHAR(42),""))</f>
        <v>#VALUE!</v>
      </c>
      <c r="C178" s="58" t="e">
        <f>TIMEVALUE(SUBSTITUTE('Daily CIO'!K176, CHAR(42),""))</f>
        <v>#VALUE!</v>
      </c>
      <c r="D178" s="58" t="e">
        <f>TIMEVALUE(SUBSTITUTE('Daily CIO'!L176, CHAR(42),""))</f>
        <v>#VALUE!</v>
      </c>
      <c r="E178" s="58" t="e">
        <f>TIMEVALUE(SUBSTITUTE('Daily CIO'!M177, CHAR(42),""))</f>
        <v>#VALUE!</v>
      </c>
    </row>
    <row r="179" spans="1:5" x14ac:dyDescent="0.25">
      <c r="A179" s="58" t="e">
        <f>TIMEVALUE(SUBSTITUTE('Daily CIO'!I177, CHAR(42),""))</f>
        <v>#VALUE!</v>
      </c>
      <c r="B179" s="58" t="e">
        <f>TIMEVALUE(SUBSTITUTE('Daily CIO'!J177, CHAR(42),""))</f>
        <v>#VALUE!</v>
      </c>
      <c r="C179" s="58" t="e">
        <f>TIMEVALUE(SUBSTITUTE('Daily CIO'!K177, CHAR(42),""))</f>
        <v>#VALUE!</v>
      </c>
      <c r="D179" s="58" t="e">
        <f>TIMEVALUE(SUBSTITUTE('Daily CIO'!L177, CHAR(42),""))</f>
        <v>#VALUE!</v>
      </c>
      <c r="E179" s="58" t="e">
        <f>TIMEVALUE(SUBSTITUTE('Daily CIO'!M178, CHAR(42),""))</f>
        <v>#VALUE!</v>
      </c>
    </row>
    <row r="180" spans="1:5" x14ac:dyDescent="0.25">
      <c r="A180" s="58" t="e">
        <f>TIMEVALUE(SUBSTITUTE('Daily CIO'!I178, CHAR(42),""))</f>
        <v>#VALUE!</v>
      </c>
      <c r="B180" s="58" t="e">
        <f>TIMEVALUE(SUBSTITUTE('Daily CIO'!J178, CHAR(42),""))</f>
        <v>#VALUE!</v>
      </c>
      <c r="C180" s="58" t="e">
        <f>TIMEVALUE(SUBSTITUTE('Daily CIO'!K178, CHAR(42),""))</f>
        <v>#VALUE!</v>
      </c>
      <c r="D180" s="58" t="e">
        <f>TIMEVALUE(SUBSTITUTE('Daily CIO'!L178, CHAR(42),""))</f>
        <v>#VALUE!</v>
      </c>
      <c r="E180" s="58" t="e">
        <f>TIMEVALUE(SUBSTITUTE('Daily CIO'!M179, CHAR(42),""))</f>
        <v>#VALUE!</v>
      </c>
    </row>
    <row r="181" spans="1:5" x14ac:dyDescent="0.25">
      <c r="A181" s="58" t="e">
        <f>TIMEVALUE(SUBSTITUTE('Daily CIO'!I179, CHAR(42),""))</f>
        <v>#VALUE!</v>
      </c>
      <c r="B181" s="58" t="e">
        <f>TIMEVALUE(SUBSTITUTE('Daily CIO'!J179, CHAR(42),""))</f>
        <v>#VALUE!</v>
      </c>
      <c r="C181" s="58" t="e">
        <f>TIMEVALUE(SUBSTITUTE('Daily CIO'!K179, CHAR(42),""))</f>
        <v>#VALUE!</v>
      </c>
      <c r="D181" s="58" t="e">
        <f>TIMEVALUE(SUBSTITUTE('Daily CIO'!L179, CHAR(42),""))</f>
        <v>#VALUE!</v>
      </c>
      <c r="E181" s="58" t="e">
        <f>TIMEVALUE(SUBSTITUTE('Daily CIO'!M180, CHAR(42),""))</f>
        <v>#VALUE!</v>
      </c>
    </row>
    <row r="182" spans="1:5" x14ac:dyDescent="0.25">
      <c r="A182" s="58" t="e">
        <f>TIMEVALUE(SUBSTITUTE('Daily CIO'!I180, CHAR(42),""))</f>
        <v>#VALUE!</v>
      </c>
      <c r="B182" s="58" t="e">
        <f>TIMEVALUE(SUBSTITUTE('Daily CIO'!J180, CHAR(42),""))</f>
        <v>#VALUE!</v>
      </c>
      <c r="C182" s="58" t="e">
        <f>TIMEVALUE(SUBSTITUTE('Daily CIO'!K180, CHAR(42),""))</f>
        <v>#VALUE!</v>
      </c>
      <c r="D182" s="58" t="e">
        <f>TIMEVALUE(SUBSTITUTE('Daily CIO'!L180, CHAR(42),""))</f>
        <v>#VALUE!</v>
      </c>
      <c r="E182" s="58" t="e">
        <f>TIMEVALUE(SUBSTITUTE('Daily CIO'!M181, CHAR(42),""))</f>
        <v>#VALUE!</v>
      </c>
    </row>
    <row r="183" spans="1:5" x14ac:dyDescent="0.25">
      <c r="A183" s="58" t="e">
        <f>TIMEVALUE(SUBSTITUTE('Daily CIO'!I181, CHAR(42),""))</f>
        <v>#VALUE!</v>
      </c>
      <c r="B183" s="58" t="e">
        <f>TIMEVALUE(SUBSTITUTE('Daily CIO'!J181, CHAR(42),""))</f>
        <v>#VALUE!</v>
      </c>
      <c r="C183" s="58" t="e">
        <f>TIMEVALUE(SUBSTITUTE('Daily CIO'!K181, CHAR(42),""))</f>
        <v>#VALUE!</v>
      </c>
      <c r="D183" s="58" t="e">
        <f>TIMEVALUE(SUBSTITUTE('Daily CIO'!L181, CHAR(42),""))</f>
        <v>#VALUE!</v>
      </c>
      <c r="E183" s="58" t="e">
        <f>TIMEVALUE(SUBSTITUTE('Daily CIO'!M182, CHAR(42),""))</f>
        <v>#VALUE!</v>
      </c>
    </row>
    <row r="184" spans="1:5" x14ac:dyDescent="0.25">
      <c r="A184" s="58" t="e">
        <f>TIMEVALUE(SUBSTITUTE('Daily CIO'!I182, CHAR(42),""))</f>
        <v>#VALUE!</v>
      </c>
      <c r="B184" s="58" t="e">
        <f>TIMEVALUE(SUBSTITUTE('Daily CIO'!J182, CHAR(42),""))</f>
        <v>#VALUE!</v>
      </c>
      <c r="C184" s="58" t="e">
        <f>TIMEVALUE(SUBSTITUTE('Daily CIO'!K182, CHAR(42),""))</f>
        <v>#VALUE!</v>
      </c>
      <c r="D184" s="58" t="e">
        <f>TIMEVALUE(SUBSTITUTE('Daily CIO'!L182, CHAR(42),""))</f>
        <v>#VALUE!</v>
      </c>
      <c r="E184" s="58" t="e">
        <f>TIMEVALUE(SUBSTITUTE('Daily CIO'!M183, CHAR(42),""))</f>
        <v>#VALUE!</v>
      </c>
    </row>
    <row r="185" spans="1:5" x14ac:dyDescent="0.25">
      <c r="A185" s="58" t="e">
        <f>TIMEVALUE(SUBSTITUTE('Daily CIO'!I183, CHAR(42),""))</f>
        <v>#VALUE!</v>
      </c>
      <c r="B185" s="58" t="e">
        <f>TIMEVALUE(SUBSTITUTE('Daily CIO'!J183, CHAR(42),""))</f>
        <v>#VALUE!</v>
      </c>
      <c r="C185" s="58" t="e">
        <f>TIMEVALUE(SUBSTITUTE('Daily CIO'!K183, CHAR(42),""))</f>
        <v>#VALUE!</v>
      </c>
      <c r="D185" s="58" t="e">
        <f>TIMEVALUE(SUBSTITUTE('Daily CIO'!L183, CHAR(42),""))</f>
        <v>#VALUE!</v>
      </c>
      <c r="E185" s="58" t="e">
        <f>TIMEVALUE(SUBSTITUTE('Daily CIO'!M184, CHAR(42),""))</f>
        <v>#VALUE!</v>
      </c>
    </row>
    <row r="186" spans="1:5" x14ac:dyDescent="0.25">
      <c r="A186" s="58" t="e">
        <f>TIMEVALUE(SUBSTITUTE('Daily CIO'!I184, CHAR(42),""))</f>
        <v>#VALUE!</v>
      </c>
      <c r="B186" s="58" t="e">
        <f>TIMEVALUE(SUBSTITUTE('Daily CIO'!J184, CHAR(42),""))</f>
        <v>#VALUE!</v>
      </c>
      <c r="C186" s="58" t="e">
        <f>TIMEVALUE(SUBSTITUTE('Daily CIO'!K184, CHAR(42),""))</f>
        <v>#VALUE!</v>
      </c>
      <c r="D186" s="58" t="e">
        <f>TIMEVALUE(SUBSTITUTE('Daily CIO'!L184, CHAR(42),""))</f>
        <v>#VALUE!</v>
      </c>
      <c r="E186" s="58" t="e">
        <f>TIMEVALUE(SUBSTITUTE('Daily CIO'!M185, CHAR(42),""))</f>
        <v>#VALUE!</v>
      </c>
    </row>
    <row r="187" spans="1:5" x14ac:dyDescent="0.25">
      <c r="A187" s="58" t="e">
        <f>TIMEVALUE(SUBSTITUTE('Daily CIO'!I185, CHAR(42),""))</f>
        <v>#VALUE!</v>
      </c>
      <c r="B187" s="58" t="e">
        <f>TIMEVALUE(SUBSTITUTE('Daily CIO'!J185, CHAR(42),""))</f>
        <v>#VALUE!</v>
      </c>
      <c r="C187" s="58" t="e">
        <f>TIMEVALUE(SUBSTITUTE('Daily CIO'!K185, CHAR(42),""))</f>
        <v>#VALUE!</v>
      </c>
      <c r="D187" s="58" t="e">
        <f>TIMEVALUE(SUBSTITUTE('Daily CIO'!L185, CHAR(42),""))</f>
        <v>#VALUE!</v>
      </c>
      <c r="E187" s="58" t="e">
        <f>TIMEVALUE(SUBSTITUTE('Daily CIO'!M186, CHAR(42),""))</f>
        <v>#VALUE!</v>
      </c>
    </row>
    <row r="188" spans="1:5" x14ac:dyDescent="0.25">
      <c r="A188" s="58" t="e">
        <f>TIMEVALUE(SUBSTITUTE('Daily CIO'!I186, CHAR(42),""))</f>
        <v>#VALUE!</v>
      </c>
      <c r="B188" s="58" t="e">
        <f>TIMEVALUE(SUBSTITUTE('Daily CIO'!J186, CHAR(42),""))</f>
        <v>#VALUE!</v>
      </c>
      <c r="C188" s="58" t="e">
        <f>TIMEVALUE(SUBSTITUTE('Daily CIO'!K186, CHAR(42),""))</f>
        <v>#VALUE!</v>
      </c>
      <c r="D188" s="58" t="e">
        <f>TIMEVALUE(SUBSTITUTE('Daily CIO'!L186, CHAR(42),""))</f>
        <v>#VALUE!</v>
      </c>
      <c r="E188" s="58" t="e">
        <f>TIMEVALUE(SUBSTITUTE('Daily CIO'!M187, CHAR(42),""))</f>
        <v>#VALUE!</v>
      </c>
    </row>
    <row r="189" spans="1:5" x14ac:dyDescent="0.25">
      <c r="A189" s="58" t="e">
        <f>TIMEVALUE(SUBSTITUTE('Daily CIO'!I187, CHAR(42),""))</f>
        <v>#VALUE!</v>
      </c>
      <c r="B189" s="58" t="e">
        <f>TIMEVALUE(SUBSTITUTE('Daily CIO'!J187, CHAR(42),""))</f>
        <v>#VALUE!</v>
      </c>
      <c r="C189" s="58" t="e">
        <f>TIMEVALUE(SUBSTITUTE('Daily CIO'!K187, CHAR(42),""))</f>
        <v>#VALUE!</v>
      </c>
      <c r="D189" s="58" t="e">
        <f>TIMEVALUE(SUBSTITUTE('Daily CIO'!L187, CHAR(42),""))</f>
        <v>#VALUE!</v>
      </c>
      <c r="E189" s="58" t="e">
        <f>TIMEVALUE(SUBSTITUTE('Daily CIO'!M188, CHAR(42),""))</f>
        <v>#VALUE!</v>
      </c>
    </row>
    <row r="190" spans="1:5" x14ac:dyDescent="0.25">
      <c r="A190" s="58" t="e">
        <f>TIMEVALUE(SUBSTITUTE('Daily CIO'!I188, CHAR(42),""))</f>
        <v>#VALUE!</v>
      </c>
      <c r="B190" s="58" t="e">
        <f>TIMEVALUE(SUBSTITUTE('Daily CIO'!J188, CHAR(42),""))</f>
        <v>#VALUE!</v>
      </c>
      <c r="C190" s="58" t="e">
        <f>TIMEVALUE(SUBSTITUTE('Daily CIO'!K188, CHAR(42),""))</f>
        <v>#VALUE!</v>
      </c>
      <c r="D190" s="58" t="e">
        <f>TIMEVALUE(SUBSTITUTE('Daily CIO'!L188, CHAR(42),""))</f>
        <v>#VALUE!</v>
      </c>
      <c r="E190" s="58" t="e">
        <f>TIMEVALUE(SUBSTITUTE('Daily CIO'!M189, CHAR(42),""))</f>
        <v>#VALUE!</v>
      </c>
    </row>
    <row r="191" spans="1:5" x14ac:dyDescent="0.25">
      <c r="A191" s="58" t="e">
        <f>TIMEVALUE(SUBSTITUTE('Daily CIO'!I189, CHAR(42),""))</f>
        <v>#VALUE!</v>
      </c>
      <c r="B191" s="58" t="e">
        <f>TIMEVALUE(SUBSTITUTE('Daily CIO'!J189, CHAR(42),""))</f>
        <v>#VALUE!</v>
      </c>
      <c r="C191" s="58" t="e">
        <f>TIMEVALUE(SUBSTITUTE('Daily CIO'!K189, CHAR(42),""))</f>
        <v>#VALUE!</v>
      </c>
      <c r="D191" s="58" t="e">
        <f>TIMEVALUE(SUBSTITUTE('Daily CIO'!L189, CHAR(42),""))</f>
        <v>#VALUE!</v>
      </c>
      <c r="E191" s="58" t="e">
        <f>TIMEVALUE(SUBSTITUTE('Daily CIO'!M190, CHAR(42),""))</f>
        <v>#VALUE!</v>
      </c>
    </row>
    <row r="192" spans="1:5" x14ac:dyDescent="0.25">
      <c r="A192" s="58" t="e">
        <f>TIMEVALUE(SUBSTITUTE('Daily CIO'!I190, CHAR(42),""))</f>
        <v>#VALUE!</v>
      </c>
      <c r="B192" s="58" t="e">
        <f>TIMEVALUE(SUBSTITUTE('Daily CIO'!J190, CHAR(42),""))</f>
        <v>#VALUE!</v>
      </c>
      <c r="C192" s="58" t="e">
        <f>TIMEVALUE(SUBSTITUTE('Daily CIO'!K190, CHAR(42),""))</f>
        <v>#VALUE!</v>
      </c>
      <c r="D192" s="58" t="e">
        <f>TIMEVALUE(SUBSTITUTE('Daily CIO'!L190, CHAR(42),""))</f>
        <v>#VALUE!</v>
      </c>
      <c r="E192" s="58" t="e">
        <f>TIMEVALUE(SUBSTITUTE('Daily CIO'!M191, CHAR(42),""))</f>
        <v>#VALUE!</v>
      </c>
    </row>
    <row r="193" spans="1:5" x14ac:dyDescent="0.25">
      <c r="A193" s="58" t="e">
        <f>TIMEVALUE(SUBSTITUTE('Daily CIO'!I191, CHAR(42),""))</f>
        <v>#VALUE!</v>
      </c>
      <c r="B193" s="58" t="e">
        <f>TIMEVALUE(SUBSTITUTE('Daily CIO'!J191, CHAR(42),""))</f>
        <v>#VALUE!</v>
      </c>
      <c r="C193" s="58" t="e">
        <f>TIMEVALUE(SUBSTITUTE('Daily CIO'!K191, CHAR(42),""))</f>
        <v>#VALUE!</v>
      </c>
      <c r="D193" s="58" t="e">
        <f>TIMEVALUE(SUBSTITUTE('Daily CIO'!L191, CHAR(42),""))</f>
        <v>#VALUE!</v>
      </c>
      <c r="E193" s="58" t="e">
        <f>TIMEVALUE(SUBSTITUTE('Daily CIO'!M192, CHAR(42),""))</f>
        <v>#VALUE!</v>
      </c>
    </row>
    <row r="194" spans="1:5" x14ac:dyDescent="0.25">
      <c r="A194" s="58" t="e">
        <f>TIMEVALUE(SUBSTITUTE('Daily CIO'!I192, CHAR(42),""))</f>
        <v>#VALUE!</v>
      </c>
      <c r="B194" s="58" t="e">
        <f>TIMEVALUE(SUBSTITUTE('Daily CIO'!J192, CHAR(42),""))</f>
        <v>#VALUE!</v>
      </c>
      <c r="C194" s="58" t="e">
        <f>TIMEVALUE(SUBSTITUTE('Daily CIO'!K192, CHAR(42),""))</f>
        <v>#VALUE!</v>
      </c>
      <c r="D194" s="58" t="e">
        <f>TIMEVALUE(SUBSTITUTE('Daily CIO'!L192, CHAR(42),""))</f>
        <v>#VALUE!</v>
      </c>
      <c r="E194" s="58" t="e">
        <f>TIMEVALUE(SUBSTITUTE('Daily CIO'!M193, CHAR(42),""))</f>
        <v>#VALUE!</v>
      </c>
    </row>
    <row r="195" spans="1:5" x14ac:dyDescent="0.25">
      <c r="A195" s="58" t="e">
        <f>TIMEVALUE(SUBSTITUTE('Daily CIO'!I193, CHAR(42),""))</f>
        <v>#VALUE!</v>
      </c>
      <c r="B195" s="58" t="e">
        <f>TIMEVALUE(SUBSTITUTE('Daily CIO'!J193, CHAR(42),""))</f>
        <v>#VALUE!</v>
      </c>
      <c r="C195" s="58" t="e">
        <f>TIMEVALUE(SUBSTITUTE('Daily CIO'!K193, CHAR(42),""))</f>
        <v>#VALUE!</v>
      </c>
      <c r="D195" s="58" t="e">
        <f>TIMEVALUE(SUBSTITUTE('Daily CIO'!L193, CHAR(42),""))</f>
        <v>#VALUE!</v>
      </c>
      <c r="E195" s="58" t="e">
        <f>TIMEVALUE(SUBSTITUTE('Daily CIO'!M194, CHAR(42),""))</f>
        <v>#VALUE!</v>
      </c>
    </row>
    <row r="196" spans="1:5" x14ac:dyDescent="0.25">
      <c r="A196" s="58" t="e">
        <f>TIMEVALUE(SUBSTITUTE('Daily CIO'!I194, CHAR(42),""))</f>
        <v>#VALUE!</v>
      </c>
      <c r="B196" s="58" t="e">
        <f>TIMEVALUE(SUBSTITUTE('Daily CIO'!J194, CHAR(42),""))</f>
        <v>#VALUE!</v>
      </c>
      <c r="C196" s="58" t="e">
        <f>TIMEVALUE(SUBSTITUTE('Daily CIO'!K194, CHAR(42),""))</f>
        <v>#VALUE!</v>
      </c>
      <c r="D196" s="58" t="e">
        <f>TIMEVALUE(SUBSTITUTE('Daily CIO'!L194, CHAR(42),""))</f>
        <v>#VALUE!</v>
      </c>
      <c r="E196" s="58" t="e">
        <f>TIMEVALUE(SUBSTITUTE('Daily CIO'!M195, CHAR(42),""))</f>
        <v>#VALUE!</v>
      </c>
    </row>
    <row r="197" spans="1:5" x14ac:dyDescent="0.25">
      <c r="A197" s="58" t="e">
        <f>TIMEVALUE(SUBSTITUTE('Daily CIO'!I195, CHAR(42),""))</f>
        <v>#VALUE!</v>
      </c>
      <c r="B197" s="58" t="e">
        <f>TIMEVALUE(SUBSTITUTE('Daily CIO'!J195, CHAR(42),""))</f>
        <v>#VALUE!</v>
      </c>
      <c r="C197" s="58" t="e">
        <f>TIMEVALUE(SUBSTITUTE('Daily CIO'!K195, CHAR(42),""))</f>
        <v>#VALUE!</v>
      </c>
      <c r="D197" s="58" t="e">
        <f>TIMEVALUE(SUBSTITUTE('Daily CIO'!L195, CHAR(42),""))</f>
        <v>#VALUE!</v>
      </c>
      <c r="E197" s="58" t="e">
        <f>TIMEVALUE(SUBSTITUTE('Daily CIO'!M196, CHAR(42),""))</f>
        <v>#VALUE!</v>
      </c>
    </row>
    <row r="198" spans="1:5" x14ac:dyDescent="0.25">
      <c r="A198" s="58" t="e">
        <f>TIMEVALUE(SUBSTITUTE('Daily CIO'!I196, CHAR(42),""))</f>
        <v>#VALUE!</v>
      </c>
      <c r="B198" s="58" t="e">
        <f>TIMEVALUE(SUBSTITUTE('Daily CIO'!J196, CHAR(42),""))</f>
        <v>#VALUE!</v>
      </c>
      <c r="C198" s="58" t="e">
        <f>TIMEVALUE(SUBSTITUTE('Daily CIO'!K196, CHAR(42),""))</f>
        <v>#VALUE!</v>
      </c>
      <c r="D198" s="58" t="e">
        <f>TIMEVALUE(SUBSTITUTE('Daily CIO'!L196, CHAR(42),""))</f>
        <v>#VALUE!</v>
      </c>
      <c r="E198" s="58" t="e">
        <f>TIMEVALUE(SUBSTITUTE('Daily CIO'!M197, CHAR(42),""))</f>
        <v>#VALUE!</v>
      </c>
    </row>
    <row r="199" spans="1:5" x14ac:dyDescent="0.25">
      <c r="A199" s="58" t="e">
        <f>TIMEVALUE(SUBSTITUTE('Daily CIO'!I197, CHAR(42),""))</f>
        <v>#VALUE!</v>
      </c>
      <c r="B199" s="58" t="e">
        <f>TIMEVALUE(SUBSTITUTE('Daily CIO'!J197, CHAR(42),""))</f>
        <v>#VALUE!</v>
      </c>
      <c r="C199" s="58" t="e">
        <f>TIMEVALUE(SUBSTITUTE('Daily CIO'!K197, CHAR(42),""))</f>
        <v>#VALUE!</v>
      </c>
      <c r="D199" s="58" t="e">
        <f>TIMEVALUE(SUBSTITUTE('Daily CIO'!L197, CHAR(42),""))</f>
        <v>#VALUE!</v>
      </c>
      <c r="E199" s="58" t="e">
        <f>TIMEVALUE(SUBSTITUTE('Daily CIO'!M198, CHAR(42),""))</f>
        <v>#VALUE!</v>
      </c>
    </row>
    <row r="200" spans="1:5" x14ac:dyDescent="0.25">
      <c r="A200" s="58" t="e">
        <f>TIMEVALUE(SUBSTITUTE('Daily CIO'!I198, CHAR(42),""))</f>
        <v>#VALUE!</v>
      </c>
      <c r="B200" s="58" t="e">
        <f>TIMEVALUE(SUBSTITUTE('Daily CIO'!J198, CHAR(42),""))</f>
        <v>#VALUE!</v>
      </c>
      <c r="C200" s="58" t="e">
        <f>TIMEVALUE(SUBSTITUTE('Daily CIO'!K198, CHAR(42),""))</f>
        <v>#VALUE!</v>
      </c>
      <c r="D200" s="58" t="e">
        <f>TIMEVALUE(SUBSTITUTE('Daily CIO'!L198, CHAR(42),""))</f>
        <v>#VALUE!</v>
      </c>
      <c r="E200" s="58" t="e">
        <f>TIMEVALUE(SUBSTITUTE('Daily CIO'!M199, CHAR(42),""))</f>
        <v>#VALUE!</v>
      </c>
    </row>
  </sheetData>
  <pageMargins left="0.7" right="0.7" top="0.75" bottom="0.75" header="0.3" footer="0.3"/>
  <pageSetup orientation="portrait" horizontalDpi="300" verticalDpi="30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47622E806DCDF4A8967E60AC284A71C" ma:contentTypeVersion="11" ma:contentTypeDescription="Create a new document." ma:contentTypeScope="" ma:versionID="f5ac9fed5690019c791c38037eedfa80">
  <xsd:schema xmlns:xsd="http://www.w3.org/2001/XMLSchema" xmlns:xs="http://www.w3.org/2001/XMLSchema" xmlns:p="http://schemas.microsoft.com/office/2006/metadata/properties" xmlns:ns3="c65edf68-e279-4413-b779-93c700f946ce" xmlns:ns4="c15dd539-b950-44ed-9cde-7d6cd432cb0a" targetNamespace="http://schemas.microsoft.com/office/2006/metadata/properties" ma:root="true" ma:fieldsID="150e1e7f6c3bf11e9c8ac7c1dd569a1a" ns3:_="" ns4:_="">
    <xsd:import namespace="c65edf68-e279-4413-b779-93c700f946ce"/>
    <xsd:import namespace="c15dd539-b950-44ed-9cde-7d6cd432cb0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65edf68-e279-4413-b779-93c700f946c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4" nillable="true" ma:displayName="_activity" ma:hidden="true" ma:internalName="_activity">
      <xsd:simpleType>
        <xsd:restriction base="dms:Note"/>
      </xsd:simple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15dd539-b950-44ed-9cde-7d6cd432cb0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7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c65edf68-e279-4413-b779-93c700f946ce" xsi:nil="true"/>
  </documentManagement>
</p:properties>
</file>

<file path=customXml/itemProps1.xml><?xml version="1.0" encoding="utf-8"?>
<ds:datastoreItem xmlns:ds="http://schemas.openxmlformats.org/officeDocument/2006/customXml" ds:itemID="{7FACACD0-31B4-409C-979C-E9CECCCA739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372AFEC-8C0F-43C0-9295-B200DF47CB3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65edf68-e279-4413-b779-93c700f946ce"/>
    <ds:schemaRef ds:uri="c15dd539-b950-44ed-9cde-7d6cd432cb0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B67E30B-4DEB-4CB0-8EEC-F0A2018A0157}">
  <ds:schemaRefs>
    <ds:schemaRef ds:uri="http://schemas.microsoft.com/office/2006/metadata/properties"/>
    <ds:schemaRef ds:uri="http://schemas.microsoft.com/office/infopath/2007/PartnerControls"/>
    <ds:schemaRef ds:uri="c65edf68-e279-4413-b779-93c700f946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Daily CIO</vt:lpstr>
      <vt:lpstr>CIO Unit</vt:lpstr>
      <vt:lpstr>WMS Attendance</vt:lpstr>
      <vt:lpstr>Analytics</vt:lpstr>
      <vt:lpstr>How-to Guide</vt:lpstr>
      <vt:lpstr>Macro Code</vt:lpstr>
      <vt:lpstr>pending data table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Lazarescu, Paul</dc:creator>
  <cp:keywords/>
  <dc:description>Tracking of Clients In Office</dc:description>
  <cp:lastModifiedBy>Paul Lazarescu</cp:lastModifiedBy>
  <cp:revision/>
  <dcterms:created xsi:type="dcterms:W3CDTF">2023-05-04T21:58:01Z</dcterms:created>
  <dcterms:modified xsi:type="dcterms:W3CDTF">2024-01-04T20:41:33Z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0x010100A47622E806DCDF4A8967E60AC284A71C</vt:lpwstr>
  </property>
</Properties>
</file>